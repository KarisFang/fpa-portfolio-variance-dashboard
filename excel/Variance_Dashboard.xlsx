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gion_Variance" sheetId="2" state="visible" r:id="rId4"/>
    <sheet name="Department_Vari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<sst xmlns="http://schemas.openxmlformats.org/spreadsheetml/2006/main" count="166" uniqueCount="32">
  <si>
    <t xml:space="preserve">Meridian Retail Co. — Budget vs. Actual Variance Dashboard (FY2025)</t>
  </si>
  <si>
    <t xml:space="preserve">Drill down on Region_Variance and Department_Variance tabs (conditional formatting flags every exception)</t>
  </si>
  <si>
    <t xml:space="preserve">FY2025 Revenue Variance $</t>
  </si>
  <si>
    <t xml:space="preserve">FY2025 Revenue Variance %</t>
  </si>
  <si>
    <t xml:space="preserve">FY2025 OpEx Variance $ (Favorable)</t>
  </si>
  <si>
    <t xml:space="preserve">FY2025 OpEx Variance %</t>
  </si>
  <si>
    <t xml:space="preserve">Flagged Exceptions (Rev + OpEx)</t>
  </si>
  <si>
    <t xml:space="preserve">Revenue: Budget vs. Actual by Region (FY2025 Full Year)</t>
  </si>
  <si>
    <t xml:space="preserve">OpEx: Budget vs. Actual by Department (FY2025 Full Year)</t>
  </si>
  <si>
    <t xml:space="preserve">Region</t>
  </si>
  <si>
    <t xml:space="preserve">Budget</t>
  </si>
  <si>
    <t xml:space="preserve">Actual</t>
  </si>
  <si>
    <t xml:space="preserve">Variance %</t>
  </si>
  <si>
    <t xml:space="preserve">Department</t>
  </si>
  <si>
    <t xml:space="preserve">APAC</t>
  </si>
  <si>
    <t xml:space="preserve">Customer Support</t>
  </si>
  <si>
    <t xml:space="preserve">Europe</t>
  </si>
  <si>
    <t xml:space="preserve">General &amp; Administrative</t>
  </si>
  <si>
    <t xml:space="preserve">Greater Asia</t>
  </si>
  <si>
    <t xml:space="preserve">Operations &amp; Logistics</t>
  </si>
  <si>
    <t xml:space="preserve">Latin America</t>
  </si>
  <si>
    <t xml:space="preserve">Research &amp; Development</t>
  </si>
  <si>
    <t xml:space="preserve">North America</t>
  </si>
  <si>
    <t xml:space="preserve">Sales &amp; Marketing</t>
  </si>
  <si>
    <t xml:space="preserve">Headline insight: the FY2025 plan assumed a uniform +10% revenue lift across every region. Greater Asia missed that plan by -43.5% while North America beat it by +12.6% — a single region's miss erased most of the company's outperformance elsewhere. On the cost side, G&amp;A overspend crept up every single month without ever triggering a single-month alarm — exactly the kind of slow-creep variance a monthly review (instead of only an annual one) is built to catch.</t>
  </si>
  <si>
    <t xml:space="preserve">Revenue Variance by Region x Month — FY2025</t>
  </si>
  <si>
    <t xml:space="preserve">Budget = FY2024 actual x planned +10% growth, set before the year started. Source: SQL export.</t>
  </si>
  <si>
    <t xml:space="preserve">Month</t>
  </si>
  <si>
    <t xml:space="preserve">Variance $</t>
  </si>
  <si>
    <t xml:space="preserve">Exception</t>
  </si>
  <si>
    <t xml:space="preserve">OpEx Variance by Department x Month — FY2025</t>
  </si>
  <si>
    <t xml:space="preserve">Positive variance % = overspend vs. budget (unfavorable). Source: SQL export.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</si>
</sst>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8"/>
      <color rgb="FF1F4E78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9F9F9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Revenue: Budget vs. Actual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Dashboard!$A$9:$A$13</c:f>
              <c:strCache>
                <c:ptCount val="5"/>
                <c:pt idx="0">
                  <c:v>APAC</c:v>
                </c:pt>
                <c:pt idx="1">
                  <c:v>Europe</c:v>
                </c:pt>
                <c:pt idx="2">
                  <c:v>Greater Asia</c:v>
                </c:pt>
                <c:pt idx="3">
                  <c:v>Latin America</c:v>
                </c:pt>
                <c:pt idx="4">
                  <c:v>North America</c:v>
                </c:pt>
              </c:strCache>
            </c:strRef>
          </c:cat>
          <c:val>
            <c:numRef>
              <c:f>Dashboard!$B$9:$B$13</c:f>
              <c:numCache>
                <c:formatCode>\$#,##0;"($"#,##0\);\-</c:formatCode>
                <c:ptCount val="5"/>
                <c:pt idx="0">
                  <c:v>2750450.03</c:v>
                </c:pt>
                <c:pt idx="1">
                  <c:v>5090424.43</c:v>
                </c:pt>
                <c:pt idx="2">
                  <c:v>5480465.24</c:v>
                </c:pt>
                <c:pt idx="3">
                  <c:v>1201255.77</c:v>
                </c:pt>
                <c:pt idx="4">
                  <c:v>6301924</c:v>
                </c:pt>
              </c:numCache>
            </c:numRef>
          </c:val>
        </c:ser>
        <c:ser>
          <c:idx val="1"/>
          <c:order val="1"/>
          <c:tx>
            <c:strRef>
              <c:f>Dashboard!C8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Dashboard!$A$9:$A$13</c:f>
              <c:strCache>
                <c:ptCount val="5"/>
                <c:pt idx="0">
                  <c:v>APAC</c:v>
                </c:pt>
                <c:pt idx="1">
                  <c:v>Europe</c:v>
                </c:pt>
                <c:pt idx="2">
                  <c:v>Greater Asia</c:v>
                </c:pt>
                <c:pt idx="3">
                  <c:v>Latin America</c:v>
                </c:pt>
                <c:pt idx="4">
                  <c:v>North America</c:v>
                </c:pt>
              </c:strCache>
            </c:strRef>
          </c:cat>
          <c:val>
            <c:numRef>
              <c:f>Dashboard!$C$9:$C$13</c:f>
              <c:numCache>
                <c:formatCode>\$#,##0;"($"#,##0\);\-</c:formatCode>
                <c:ptCount val="5"/>
                <c:pt idx="0">
                  <c:v>2573786.81</c:v>
                </c:pt>
                <c:pt idx="1">
                  <c:v>4548997.25</c:v>
                </c:pt>
                <c:pt idx="2">
                  <c:v>3096550.13</c:v>
                </c:pt>
                <c:pt idx="3">
                  <c:v>1408055.23</c:v>
                </c:pt>
                <c:pt idx="4">
                  <c:v>7094729.45</c:v>
                </c:pt>
              </c:numCache>
            </c:numRef>
          </c:val>
        </c:ser>
        <c:gapWidth val="150"/>
        <c:overlap val="0"/>
        <c:axId val="48611859"/>
        <c:axId val="53758105"/>
      </c:barChart>
      <c:catAx>
        <c:axId val="48611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58105"/>
        <c:crosses val="autoZero"/>
        <c:auto val="1"/>
        <c:lblAlgn val="ctr"/>
        <c:lblOffset val="100"/>
        <c:noMultiLvlLbl val="0"/>
      </c:catAx>
      <c:valAx>
        <c:axId val="53758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118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OpEx: Budget vs. Actual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Dashboard!$F$9:$F$13</c:f>
              <c:strCache>
                <c:ptCount val="5"/>
                <c:pt idx="0">
                  <c:v>Customer Support</c:v>
                </c:pt>
                <c:pt idx="1">
                  <c:v>General &amp; Administrative</c:v>
                </c:pt>
                <c:pt idx="2">
                  <c:v>Operations &amp; Logistics</c:v>
                </c:pt>
                <c:pt idx="3">
                  <c:v>Research &amp; Development</c:v>
                </c:pt>
                <c:pt idx="4">
                  <c:v>Sales &amp; Marketing</c:v>
                </c:pt>
              </c:strCache>
            </c:strRef>
          </c:cat>
          <c:val>
            <c:numRef>
              <c:f>Dashboard!$G$9:$G$13</c:f>
              <c:numCache>
                <c:formatCode>\$#,##0;"($"#,##0\);\-</c:formatCode>
                <c:ptCount val="5"/>
                <c:pt idx="0">
                  <c:v>879000</c:v>
                </c:pt>
                <c:pt idx="1">
                  <c:v>1080000</c:v>
                </c:pt>
                <c:pt idx="2">
                  <c:v>1685400</c:v>
                </c:pt>
                <c:pt idx="3">
                  <c:v>1502400</c:v>
                </c:pt>
                <c:pt idx="4">
                  <c:v>2466000</c:v>
                </c:pt>
              </c:numCache>
            </c:numRef>
          </c:val>
        </c:ser>
        <c:ser>
          <c:idx val="1"/>
          <c:order val="1"/>
          <c:tx>
            <c:strRef>
              <c:f>Dashboard!H8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Dashboard!$F$9:$F$13</c:f>
              <c:strCache>
                <c:ptCount val="5"/>
                <c:pt idx="0">
                  <c:v>Customer Support</c:v>
                </c:pt>
                <c:pt idx="1">
                  <c:v>General &amp; Administrative</c:v>
                </c:pt>
                <c:pt idx="2">
                  <c:v>Operations &amp; Logistics</c:v>
                </c:pt>
                <c:pt idx="3">
                  <c:v>Research &amp; Development</c:v>
                </c:pt>
                <c:pt idx="4">
                  <c:v>Sales &amp; Marketing</c:v>
                </c:pt>
              </c:strCache>
            </c:strRef>
          </c:cat>
          <c:val>
            <c:numRef>
              <c:f>Dashboard!$H$9:$H$13</c:f>
              <c:numCache>
                <c:formatCode>\$#,##0;"($"#,##0\);\-</c:formatCode>
                <c:ptCount val="5"/>
                <c:pt idx="0">
                  <c:v>791100</c:v>
                </c:pt>
                <c:pt idx="1">
                  <c:v>1206360</c:v>
                </c:pt>
                <c:pt idx="2">
                  <c:v>1715672</c:v>
                </c:pt>
                <c:pt idx="3">
                  <c:v>1496244</c:v>
                </c:pt>
                <c:pt idx="4">
                  <c:v>2678707.5</c:v>
                </c:pt>
              </c:numCache>
            </c:numRef>
          </c:val>
        </c:ser>
        <c:gapWidth val="150"/>
        <c:overlap val="0"/>
        <c:axId val="73323259"/>
        <c:axId val="10453165"/>
      </c:barChart>
      <c:catAx>
        <c:axId val="73323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53165"/>
        <c:crosses val="autoZero"/>
        <c:auto val="1"/>
        <c:lblAlgn val="ctr"/>
        <c:lblOffset val="100"/>
        <c:noMultiLvlLbl val="0"/>
      </c:catAx>
      <c:valAx>
        <c:axId val="10453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23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130680</xdr:rowOff>
    </xdr:from>
    <xdr:to>
      <xdr:col>7</xdr:col>
      <xdr:colOff>332280</xdr:colOff>
      <xdr:row>31</xdr:row>
      <xdr:rowOff>142560</xdr:rowOff>
    </xdr:to>
    <xdr:graphicFrame>
      <xdr:nvGraphicFramePr>
        <xdr:cNvPr id="0" name="Chart 1"/>
        <xdr:cNvGraphicFramePr/>
      </xdr:nvGraphicFramePr>
      <xdr:xfrm>
        <a:off x="0" y="318132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15</xdr:row>
      <xdr:rowOff>130680</xdr:rowOff>
    </xdr:from>
    <xdr:to>
      <xdr:col>15</xdr:col>
      <xdr:colOff>496080</xdr:colOff>
      <xdr:row>31</xdr:row>
      <xdr:rowOff>142560</xdr:rowOff>
    </xdr:to>
    <xdr:graphicFrame>
      <xdr:nvGraphicFramePr>
        <xdr:cNvPr id="1" name="Chart 2"/>
        <xdr:cNvGraphicFramePr/>
      </xdr:nvGraphicFramePr>
      <xdr:xfrm>
        <a:off x="6202800" y="318132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3"/>
      <c r="D4" s="3" t="s">
        <v>3</v>
      </c>
      <c r="E4" s="3"/>
      <c r="G4" s="3" t="s">
        <v>4</v>
      </c>
      <c r="H4" s="3"/>
      <c r="J4" s="3" t="s">
        <v>5</v>
      </c>
      <c r="K4" s="3"/>
      <c r="M4" s="3" t="s">
        <v>6</v>
      </c>
      <c r="N4" s="3"/>
    </row>
    <row r="5" customFormat="false" ht="25.5" hidden="false" customHeight="true" outlineLevel="0" collapsed="false">
      <c r="A5" s="4" t="n">
        <f aca="false">SUMIF(Region_Variance!A5:A64,"&lt;&gt;")*0+SUM(Region_Variance!E5:E64)</f>
        <v>-2102400.6</v>
      </c>
      <c r="B5" s="4"/>
      <c r="D5" s="5" t="n">
        <f aca="false">SUM(Region_Variance!D5:D64)/SUM(Region_Variance!C5:C64)-1</f>
        <v>-0.100957940615568</v>
      </c>
      <c r="E5" s="5"/>
      <c r="G5" s="4" t="n">
        <f aca="false">-SUM(Department_Variance!E5:E64)</f>
        <v>-275283.5</v>
      </c>
      <c r="H5" s="4"/>
      <c r="J5" s="5" t="n">
        <f aca="false">SUM(Department_Variance!D5:D64)/SUM(Department_Variance!C5:C64)-1</f>
        <v>0.0361606110760824</v>
      </c>
      <c r="K5" s="5"/>
      <c r="M5" s="6" t="n">
        <f aca="false">COUNTIF(Region_Variance!G5:G64,"FLAG")+COUNTIF(Department_Variance!G5:G64,"OVERSPEND")+COUNTIF(Department_Variance!G5:G64,"UNDERSPEND")</f>
        <v>85</v>
      </c>
      <c r="N5" s="6"/>
    </row>
    <row r="7" customFormat="false" ht="15" hidden="false" customHeight="false" outlineLevel="0" collapsed="false">
      <c r="A7" s="7" t="s">
        <v>7</v>
      </c>
      <c r="F7" s="7" t="s">
        <v>8</v>
      </c>
    </row>
    <row r="8" customFormat="false" ht="15" hidden="false" customHeight="false" outlineLevel="0" collapsed="false">
      <c r="A8" s="8" t="s">
        <v>9</v>
      </c>
      <c r="B8" s="8" t="s">
        <v>10</v>
      </c>
      <c r="C8" s="8" t="s">
        <v>11</v>
      </c>
      <c r="D8" s="8" t="s">
        <v>12</v>
      </c>
      <c r="F8" s="8" t="s">
        <v>13</v>
      </c>
      <c r="G8" s="8" t="s">
        <v>10</v>
      </c>
      <c r="H8" s="8" t="s">
        <v>11</v>
      </c>
      <c r="I8" s="8" t="s">
        <v>12</v>
      </c>
    </row>
    <row r="9" customFormat="false" ht="15" hidden="false" customHeight="false" outlineLevel="0" collapsed="false">
      <c r="A9" s="9" t="s">
        <v>14</v>
      </c>
      <c r="B9" s="10" t="n">
        <f aca="false">SUMIF(Region_Variance!$A$5:$A$64,A9,Region_Variance!$C$5:$C$64)</f>
        <v>2750450.03</v>
      </c>
      <c r="C9" s="10" t="n">
        <f aca="false">SUMIF(Region_Variance!$A$5:$A$64,A9,Region_Variance!$D$5:$D$64)</f>
        <v>2573786.81</v>
      </c>
      <c r="D9" s="11" t="n">
        <f aca="false">C9/B9-1</f>
        <v>-0.0642306597367994</v>
      </c>
      <c r="F9" s="9" t="s">
        <v>15</v>
      </c>
      <c r="G9" s="10" t="n">
        <f aca="false">SUMIF(Department_Variance!$A$5:$A$64,F9,Department_Variance!$C$5:$C$64)</f>
        <v>879000</v>
      </c>
      <c r="H9" s="10" t="n">
        <f aca="false">SUMIF(Department_Variance!$A$5:$A$64,F9,Department_Variance!$D$5:$D$64)</f>
        <v>791100</v>
      </c>
      <c r="I9" s="11" t="n">
        <f aca="false">H9/G9-1</f>
        <v>-0.1</v>
      </c>
    </row>
    <row r="10" customFormat="false" ht="15" hidden="false" customHeight="false" outlineLevel="0" collapsed="false">
      <c r="A10" s="9" t="s">
        <v>16</v>
      </c>
      <c r="B10" s="10" t="n">
        <f aca="false">SUMIF(Region_Variance!$A$5:$A$64,A10,Region_Variance!$C$5:$C$64)</f>
        <v>5090424.43</v>
      </c>
      <c r="C10" s="10" t="n">
        <f aca="false">SUMIF(Region_Variance!$A$5:$A$64,A10,Region_Variance!$D$5:$D$64)</f>
        <v>4548997.25</v>
      </c>
      <c r="D10" s="11" t="n">
        <f aca="false">C10/B10-1</f>
        <v>-0.106361893285193</v>
      </c>
      <c r="F10" s="9" t="s">
        <v>17</v>
      </c>
      <c r="G10" s="10" t="n">
        <f aca="false">SUMIF(Department_Variance!$A$5:$A$64,F10,Department_Variance!$C$5:$C$64)</f>
        <v>1080000</v>
      </c>
      <c r="H10" s="10" t="n">
        <f aca="false">SUMIF(Department_Variance!$A$5:$A$64,F10,Department_Variance!$D$5:$D$64)</f>
        <v>1206360</v>
      </c>
      <c r="I10" s="11" t="n">
        <f aca="false">H10/G10-1</f>
        <v>0.117</v>
      </c>
    </row>
    <row r="11" customFormat="false" ht="15" hidden="false" customHeight="false" outlineLevel="0" collapsed="false">
      <c r="A11" s="9" t="s">
        <v>18</v>
      </c>
      <c r="B11" s="10" t="n">
        <f aca="false">SUMIF(Region_Variance!$A$5:$A$64,A11,Region_Variance!$C$5:$C$64)</f>
        <v>5480465.24</v>
      </c>
      <c r="C11" s="10" t="n">
        <f aca="false">SUMIF(Region_Variance!$A$5:$A$64,A11,Region_Variance!$D$5:$D$64)</f>
        <v>3096550.13</v>
      </c>
      <c r="D11" s="11" t="n">
        <f aca="false">C11/B11-1</f>
        <v>-0.434984076278896</v>
      </c>
      <c r="F11" s="9" t="s">
        <v>19</v>
      </c>
      <c r="G11" s="10" t="n">
        <f aca="false">SUMIF(Department_Variance!$A$5:$A$64,F11,Department_Variance!$C$5:$C$64)</f>
        <v>1685400</v>
      </c>
      <c r="H11" s="10" t="n">
        <f aca="false">SUMIF(Department_Variance!$A$5:$A$64,F11,Department_Variance!$D$5:$D$64)</f>
        <v>1715672</v>
      </c>
      <c r="I11" s="11" t="n">
        <f aca="false">H11/G11-1</f>
        <v>0.0179613148214073</v>
      </c>
    </row>
    <row r="12" customFormat="false" ht="15" hidden="false" customHeight="false" outlineLevel="0" collapsed="false">
      <c r="A12" s="9" t="s">
        <v>20</v>
      </c>
      <c r="B12" s="10" t="n">
        <f aca="false">SUMIF(Region_Variance!$A$5:$A$64,A12,Region_Variance!$C$5:$C$64)</f>
        <v>1201255.77</v>
      </c>
      <c r="C12" s="10" t="n">
        <f aca="false">SUMIF(Region_Variance!$A$5:$A$64,A12,Region_Variance!$D$5:$D$64)</f>
        <v>1408055.23</v>
      </c>
      <c r="D12" s="11" t="n">
        <f aca="false">C12/B12-1</f>
        <v>0.17215272980541</v>
      </c>
      <c r="F12" s="9" t="s">
        <v>21</v>
      </c>
      <c r="G12" s="10" t="n">
        <f aca="false">SUMIF(Department_Variance!$A$5:$A$64,F12,Department_Variance!$C$5:$C$64)</f>
        <v>1502400</v>
      </c>
      <c r="H12" s="10" t="n">
        <f aca="false">SUMIF(Department_Variance!$A$5:$A$64,F12,Department_Variance!$D$5:$D$64)</f>
        <v>1496244</v>
      </c>
      <c r="I12" s="11" t="n">
        <f aca="false">H12/G12-1</f>
        <v>-0.00409744408945689</v>
      </c>
    </row>
    <row r="13" customFormat="false" ht="15" hidden="false" customHeight="false" outlineLevel="0" collapsed="false">
      <c r="A13" s="9" t="s">
        <v>22</v>
      </c>
      <c r="B13" s="10" t="n">
        <f aca="false">SUMIF(Region_Variance!$A$5:$A$64,A13,Region_Variance!$C$5:$C$64)</f>
        <v>6301924</v>
      </c>
      <c r="C13" s="10" t="n">
        <f aca="false">SUMIF(Region_Variance!$A$5:$A$64,A13,Region_Variance!$D$5:$D$64)</f>
        <v>7094729.45</v>
      </c>
      <c r="D13" s="11" t="n">
        <f aca="false">C13/B13-1</f>
        <v>0.125803714865492</v>
      </c>
      <c r="F13" s="9" t="s">
        <v>23</v>
      </c>
      <c r="G13" s="10" t="n">
        <f aca="false">SUMIF(Department_Variance!$A$5:$A$64,F13,Department_Variance!$C$5:$C$64)</f>
        <v>2466000</v>
      </c>
      <c r="H13" s="10" t="n">
        <f aca="false">SUMIF(Department_Variance!$A$5:$A$64,F13,Department_Variance!$D$5:$D$64)</f>
        <v>2678707.5</v>
      </c>
      <c r="I13" s="11" t="n">
        <f aca="false">H13/G13-1</f>
        <v>0.0862560827250609</v>
      </c>
    </row>
    <row r="35" customFormat="false" ht="45" hidden="false" customHeight="true" outlineLevel="0" collapsed="false">
      <c r="A35" s="2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13">
    <mergeCell ref="A1:N1"/>
    <mergeCell ref="A2:N2"/>
    <mergeCell ref="A4:B4"/>
    <mergeCell ref="D4:E4"/>
    <mergeCell ref="G4:H4"/>
    <mergeCell ref="J4:K4"/>
    <mergeCell ref="M4:N4"/>
    <mergeCell ref="A5:B5"/>
    <mergeCell ref="D5:E5"/>
    <mergeCell ref="G5:H5"/>
    <mergeCell ref="J5:K5"/>
    <mergeCell ref="M5:N5"/>
    <mergeCell ref="A35:N35"/>
  </mergeCells>
  <conditionalFormatting sqref="D9:D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9:I13">
    <cfRule type="colorScale" priority="3">
      <colorScale>
        <cfvo type="min" val="0"/>
        <cfvo type="num" val="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9.7" hidden="false" customHeight="false" outlineLevel="0" collapsed="false">
      <c r="A1" s="12" t="s">
        <v>25</v>
      </c>
    </row>
    <row r="2" customFormat="false" ht="15" hidden="false" customHeight="false" outlineLevel="0" collapsed="false">
      <c r="A2" s="13" t="s">
        <v>26</v>
      </c>
    </row>
    <row r="4" customFormat="false" ht="15" hidden="false" customHeight="false" outlineLevel="0" collapsed="false">
      <c r="A4" s="8" t="s">
        <v>9</v>
      </c>
      <c r="B4" s="8" t="s">
        <v>27</v>
      </c>
      <c r="C4" s="8" t="s">
        <v>10</v>
      </c>
      <c r="D4" s="8" t="s">
        <v>11</v>
      </c>
      <c r="E4" s="8" t="s">
        <v>28</v>
      </c>
      <c r="F4" s="8" t="s">
        <v>12</v>
      </c>
      <c r="G4" s="8" t="s">
        <v>29</v>
      </c>
    </row>
    <row r="5" customFormat="false" ht="15" hidden="false" customHeight="false" outlineLevel="0" collapsed="false">
      <c r="A5" s="14" t="s">
        <v>14</v>
      </c>
      <c r="B5" s="14" t="n">
        <v>1</v>
      </c>
      <c r="C5" s="15" t="n">
        <v>261292.94</v>
      </c>
      <c r="D5" s="15" t="n">
        <v>293073.61</v>
      </c>
      <c r="E5" s="16" t="n">
        <f aca="false">D5-C5</f>
        <v>31780.67</v>
      </c>
      <c r="F5" s="17" t="n">
        <f aca="false">D5/C5-1</f>
        <v>0.121628506304074</v>
      </c>
      <c r="G5" s="9" t="str">
        <f aca="false">IF(ABS(F5)&gt;0.1,"FLAG","")</f>
        <v>FLAG</v>
      </c>
    </row>
    <row r="6" customFormat="false" ht="15" hidden="false" customHeight="false" outlineLevel="0" collapsed="false">
      <c r="A6" s="14" t="s">
        <v>14</v>
      </c>
      <c r="B6" s="14" t="n">
        <v>2</v>
      </c>
      <c r="C6" s="15" t="n">
        <v>107863.45</v>
      </c>
      <c r="D6" s="15" t="n">
        <v>192400.57</v>
      </c>
      <c r="E6" s="16" t="n">
        <f aca="false">D6-C6</f>
        <v>84537.12</v>
      </c>
      <c r="F6" s="17" t="n">
        <f aca="false">D6/C6-1</f>
        <v>0.783742036806722</v>
      </c>
      <c r="G6" s="9" t="str">
        <f aca="false">IF(ABS(F6)&gt;0.1,"FLAG","")</f>
        <v>FLAG</v>
      </c>
    </row>
    <row r="7" customFormat="false" ht="15" hidden="false" customHeight="false" outlineLevel="0" collapsed="false">
      <c r="A7" s="14" t="s">
        <v>14</v>
      </c>
      <c r="B7" s="14" t="n">
        <v>3</v>
      </c>
      <c r="C7" s="15" t="n">
        <v>184974.34</v>
      </c>
      <c r="D7" s="15" t="n">
        <v>164869.57</v>
      </c>
      <c r="E7" s="16" t="n">
        <f aca="false">D7-C7</f>
        <v>-20104.77</v>
      </c>
      <c r="F7" s="17" t="n">
        <f aca="false">D7/C7-1</f>
        <v>-0.108689507960942</v>
      </c>
      <c r="G7" s="9" t="str">
        <f aca="false">IF(ABS(F7)&gt;0.1,"FLAG","")</f>
        <v>FLAG</v>
      </c>
    </row>
    <row r="8" customFormat="false" ht="15" hidden="false" customHeight="false" outlineLevel="0" collapsed="false">
      <c r="A8" s="14" t="s">
        <v>14</v>
      </c>
      <c r="B8" s="14" t="n">
        <v>4</v>
      </c>
      <c r="C8" s="15" t="n">
        <v>306779.32</v>
      </c>
      <c r="D8" s="15" t="n">
        <v>88496.75</v>
      </c>
      <c r="E8" s="16" t="n">
        <f aca="false">D8-C8</f>
        <v>-218282.57</v>
      </c>
      <c r="F8" s="17" t="n">
        <f aca="false">D8/C8-1</f>
        <v>-0.711529610274904</v>
      </c>
      <c r="G8" s="9" t="str">
        <f aca="false">IF(ABS(F8)&gt;0.1,"FLAG","")</f>
        <v>FLAG</v>
      </c>
    </row>
    <row r="9" customFormat="false" ht="15" hidden="false" customHeight="false" outlineLevel="0" collapsed="false">
      <c r="A9" s="14" t="s">
        <v>14</v>
      </c>
      <c r="B9" s="14" t="n">
        <v>5</v>
      </c>
      <c r="C9" s="15" t="n">
        <v>205260.92</v>
      </c>
      <c r="D9" s="15" t="n">
        <v>245857.41</v>
      </c>
      <c r="E9" s="16" t="n">
        <f aca="false">D9-C9</f>
        <v>40596.49</v>
      </c>
      <c r="F9" s="17" t="n">
        <f aca="false">D9/C9-1</f>
        <v>0.197779928103216</v>
      </c>
      <c r="G9" s="9" t="str">
        <f aca="false">IF(ABS(F9)&gt;0.1,"FLAG","")</f>
        <v>FLAG</v>
      </c>
    </row>
    <row r="10" customFormat="false" ht="15" hidden="false" customHeight="false" outlineLevel="0" collapsed="false">
      <c r="A10" s="14" t="s">
        <v>14</v>
      </c>
      <c r="B10" s="14" t="n">
        <v>6</v>
      </c>
      <c r="C10" s="15" t="n">
        <v>183481.97</v>
      </c>
      <c r="D10" s="15" t="n">
        <v>176163.74</v>
      </c>
      <c r="E10" s="16" t="n">
        <f aca="false">D10-C10</f>
        <v>-7318.23000000001</v>
      </c>
      <c r="F10" s="17" t="n">
        <f aca="false">D10/C10-1</f>
        <v>-0.0398852813712433</v>
      </c>
      <c r="G10" s="9" t="str">
        <f aca="false">IF(ABS(F10)&gt;0.1,"FLAG","")</f>
        <v/>
      </c>
    </row>
    <row r="11" customFormat="false" ht="15" hidden="false" customHeight="false" outlineLevel="0" collapsed="false">
      <c r="A11" s="14" t="s">
        <v>14</v>
      </c>
      <c r="B11" s="14" t="n">
        <v>7</v>
      </c>
      <c r="C11" s="15" t="n">
        <v>240193.54</v>
      </c>
      <c r="D11" s="15" t="n">
        <v>150713.95</v>
      </c>
      <c r="E11" s="16" t="n">
        <f aca="false">D11-C11</f>
        <v>-89479.59</v>
      </c>
      <c r="F11" s="17" t="n">
        <f aca="false">D11/C11-1</f>
        <v>-0.372531209623706</v>
      </c>
      <c r="G11" s="9" t="str">
        <f aca="false">IF(ABS(F11)&gt;0.1,"FLAG","")</f>
        <v>FLAG</v>
      </c>
    </row>
    <row r="12" customFormat="false" ht="15" hidden="false" customHeight="false" outlineLevel="0" collapsed="false">
      <c r="A12" s="14" t="s">
        <v>14</v>
      </c>
      <c r="B12" s="14" t="n">
        <v>8</v>
      </c>
      <c r="C12" s="15" t="n">
        <v>158139.84</v>
      </c>
      <c r="D12" s="15" t="n">
        <v>134207.61</v>
      </c>
      <c r="E12" s="16" t="n">
        <f aca="false">D12-C12</f>
        <v>-23932.23</v>
      </c>
      <c r="F12" s="17" t="n">
        <f aca="false">D12/C12-1</f>
        <v>-0.151335868304913</v>
      </c>
      <c r="G12" s="9" t="str">
        <f aca="false">IF(ABS(F12)&gt;0.1,"FLAG","")</f>
        <v>FLAG</v>
      </c>
    </row>
    <row r="13" customFormat="false" ht="15" hidden="false" customHeight="false" outlineLevel="0" collapsed="false">
      <c r="A13" s="14" t="s">
        <v>14</v>
      </c>
      <c r="B13" s="14" t="n">
        <v>9</v>
      </c>
      <c r="C13" s="15" t="n">
        <v>191172.2</v>
      </c>
      <c r="D13" s="15" t="n">
        <v>250566.97</v>
      </c>
      <c r="E13" s="16" t="n">
        <f aca="false">D13-C13</f>
        <v>59394.77</v>
      </c>
      <c r="F13" s="17" t="n">
        <f aca="false">D13/C13-1</f>
        <v>0.310687275660373</v>
      </c>
      <c r="G13" s="9" t="str">
        <f aca="false">IF(ABS(F13)&gt;0.1,"FLAG","")</f>
        <v>FLAG</v>
      </c>
    </row>
    <row r="14" customFormat="false" ht="15" hidden="false" customHeight="false" outlineLevel="0" collapsed="false">
      <c r="A14" s="14" t="s">
        <v>14</v>
      </c>
      <c r="B14" s="14" t="n">
        <v>10</v>
      </c>
      <c r="C14" s="15" t="n">
        <v>274540.73</v>
      </c>
      <c r="D14" s="15" t="n">
        <v>219938.82</v>
      </c>
      <c r="E14" s="16" t="n">
        <f aca="false">D14-C14</f>
        <v>-54601.91</v>
      </c>
      <c r="F14" s="17" t="n">
        <f aca="false">D14/C14-1</f>
        <v>-0.198884551665612</v>
      </c>
      <c r="G14" s="9" t="str">
        <f aca="false">IF(ABS(F14)&gt;0.1,"FLAG","")</f>
        <v>FLAG</v>
      </c>
    </row>
    <row r="15" customFormat="false" ht="15" hidden="false" customHeight="false" outlineLevel="0" collapsed="false">
      <c r="A15" s="14" t="s">
        <v>14</v>
      </c>
      <c r="B15" s="14" t="n">
        <v>11</v>
      </c>
      <c r="C15" s="15" t="n">
        <v>281396.1</v>
      </c>
      <c r="D15" s="15" t="n">
        <v>309874.44</v>
      </c>
      <c r="E15" s="16" t="n">
        <f aca="false">D15-C15</f>
        <v>28478.34</v>
      </c>
      <c r="F15" s="17" t="n">
        <f aca="false">D15/C15-1</f>
        <v>0.101203748026359</v>
      </c>
      <c r="G15" s="9" t="str">
        <f aca="false">IF(ABS(F15)&gt;0.1,"FLAG","")</f>
        <v>FLAG</v>
      </c>
    </row>
    <row r="16" customFormat="false" ht="15" hidden="false" customHeight="false" outlineLevel="0" collapsed="false">
      <c r="A16" s="14" t="s">
        <v>14</v>
      </c>
      <c r="B16" s="14" t="n">
        <v>12</v>
      </c>
      <c r="C16" s="15" t="n">
        <v>355354.68</v>
      </c>
      <c r="D16" s="15" t="n">
        <v>347623.37</v>
      </c>
      <c r="E16" s="16" t="n">
        <f aca="false">D16-C16</f>
        <v>-7731.31</v>
      </c>
      <c r="F16" s="17" t="n">
        <f aca="false">D16/C16-1</f>
        <v>-0.0217566010387144</v>
      </c>
      <c r="G16" s="9" t="str">
        <f aca="false">IF(ABS(F16)&gt;0.1,"FLAG","")</f>
        <v/>
      </c>
    </row>
    <row r="17" customFormat="false" ht="15" hidden="false" customHeight="false" outlineLevel="0" collapsed="false">
      <c r="A17" s="14" t="s">
        <v>16</v>
      </c>
      <c r="B17" s="14" t="n">
        <v>1</v>
      </c>
      <c r="C17" s="15" t="n">
        <v>288941.58</v>
      </c>
      <c r="D17" s="15" t="n">
        <v>340783.63</v>
      </c>
      <c r="E17" s="16" t="n">
        <f aca="false">D17-C17</f>
        <v>51842.05</v>
      </c>
      <c r="F17" s="17" t="n">
        <f aca="false">D17/C17-1</f>
        <v>0.179420525076384</v>
      </c>
      <c r="G17" s="9" t="str">
        <f aca="false">IF(ABS(F17)&gt;0.1,"FLAG","")</f>
        <v>FLAG</v>
      </c>
    </row>
    <row r="18" customFormat="false" ht="15" hidden="false" customHeight="false" outlineLevel="0" collapsed="false">
      <c r="A18" s="14" t="s">
        <v>16</v>
      </c>
      <c r="B18" s="14" t="n">
        <v>2</v>
      </c>
      <c r="C18" s="15" t="n">
        <v>146509.36</v>
      </c>
      <c r="D18" s="15" t="n">
        <v>346520.62</v>
      </c>
      <c r="E18" s="16" t="n">
        <f aca="false">D18-C18</f>
        <v>200011.26</v>
      </c>
      <c r="F18" s="17" t="n">
        <f aca="false">D18/C18-1</f>
        <v>1.36517735112624</v>
      </c>
      <c r="G18" s="9" t="str">
        <f aca="false">IF(ABS(F18)&gt;0.1,"FLAG","")</f>
        <v>FLAG</v>
      </c>
    </row>
    <row r="19" customFormat="false" ht="15" hidden="false" customHeight="false" outlineLevel="0" collapsed="false">
      <c r="A19" s="14" t="s">
        <v>16</v>
      </c>
      <c r="B19" s="14" t="n">
        <v>3</v>
      </c>
      <c r="C19" s="15" t="n">
        <v>346415.39</v>
      </c>
      <c r="D19" s="15" t="n">
        <v>187050.33</v>
      </c>
      <c r="E19" s="16" t="n">
        <f aca="false">D19-C19</f>
        <v>-159365.06</v>
      </c>
      <c r="F19" s="17" t="n">
        <f aca="false">D19/C19-1</f>
        <v>-0.460040357906732</v>
      </c>
      <c r="G19" s="9" t="str">
        <f aca="false">IF(ABS(F19)&gt;0.1,"FLAG","")</f>
        <v>FLAG</v>
      </c>
    </row>
    <row r="20" customFormat="false" ht="15" hidden="false" customHeight="false" outlineLevel="0" collapsed="false">
      <c r="A20" s="14" t="s">
        <v>16</v>
      </c>
      <c r="B20" s="14" t="n">
        <v>4</v>
      </c>
      <c r="C20" s="15" t="n">
        <v>338987.79</v>
      </c>
      <c r="D20" s="15" t="n">
        <v>323004.14</v>
      </c>
      <c r="E20" s="16" t="n">
        <f aca="false">D20-C20</f>
        <v>-15983.65</v>
      </c>
      <c r="F20" s="17" t="n">
        <f aca="false">D20/C20-1</f>
        <v>-0.0471511083039302</v>
      </c>
      <c r="G20" s="9" t="str">
        <f aca="false">IF(ABS(F20)&gt;0.1,"FLAG","")</f>
        <v/>
      </c>
    </row>
    <row r="21" customFormat="false" ht="15" hidden="false" customHeight="false" outlineLevel="0" collapsed="false">
      <c r="A21" s="14" t="s">
        <v>16</v>
      </c>
      <c r="B21" s="14" t="n">
        <v>5</v>
      </c>
      <c r="C21" s="15" t="n">
        <v>561876.38</v>
      </c>
      <c r="D21" s="15" t="n">
        <v>392062.95</v>
      </c>
      <c r="E21" s="16" t="n">
        <f aca="false">D21-C21</f>
        <v>-169813.43</v>
      </c>
      <c r="F21" s="17" t="n">
        <f aca="false">D21/C21-1</f>
        <v>-0.302225606992058</v>
      </c>
      <c r="G21" s="9" t="str">
        <f aca="false">IF(ABS(F21)&gt;0.1,"FLAG","")</f>
        <v>FLAG</v>
      </c>
    </row>
    <row r="22" customFormat="false" ht="15" hidden="false" customHeight="false" outlineLevel="0" collapsed="false">
      <c r="A22" s="14" t="s">
        <v>16</v>
      </c>
      <c r="B22" s="14" t="n">
        <v>6</v>
      </c>
      <c r="C22" s="15" t="n">
        <v>550678.28</v>
      </c>
      <c r="D22" s="15" t="n">
        <v>180549.1</v>
      </c>
      <c r="E22" s="16" t="n">
        <f aca="false">D22-C22</f>
        <v>-370129.18</v>
      </c>
      <c r="F22" s="17" t="n">
        <f aca="false">D22/C22-1</f>
        <v>-0.672133246294007</v>
      </c>
      <c r="G22" s="9" t="str">
        <f aca="false">IF(ABS(F22)&gt;0.1,"FLAG","")</f>
        <v>FLAG</v>
      </c>
    </row>
    <row r="23" customFormat="false" ht="15" hidden="false" customHeight="false" outlineLevel="0" collapsed="false">
      <c r="A23" s="14" t="s">
        <v>16</v>
      </c>
      <c r="B23" s="14" t="n">
        <v>7</v>
      </c>
      <c r="C23" s="15" t="n">
        <v>549557.24</v>
      </c>
      <c r="D23" s="15" t="n">
        <v>318939.19</v>
      </c>
      <c r="E23" s="16" t="n">
        <f aca="false">D23-C23</f>
        <v>-230618.05</v>
      </c>
      <c r="F23" s="17" t="n">
        <f aca="false">D23/C23-1</f>
        <v>-0.41964336599405</v>
      </c>
      <c r="G23" s="9" t="str">
        <f aca="false">IF(ABS(F23)&gt;0.1,"FLAG","")</f>
        <v>FLAG</v>
      </c>
    </row>
    <row r="24" customFormat="false" ht="15" hidden="false" customHeight="false" outlineLevel="0" collapsed="false">
      <c r="A24" s="14" t="s">
        <v>16</v>
      </c>
      <c r="B24" s="14" t="n">
        <v>8</v>
      </c>
      <c r="C24" s="15" t="n">
        <v>399133.06</v>
      </c>
      <c r="D24" s="15" t="n">
        <v>395572.37</v>
      </c>
      <c r="E24" s="16" t="n">
        <f aca="false">D24-C24</f>
        <v>-3560.69</v>
      </c>
      <c r="F24" s="17" t="n">
        <f aca="false">D24/C24-1</f>
        <v>-0.00892106005951998</v>
      </c>
      <c r="G24" s="9" t="str">
        <f aca="false">IF(ABS(F24)&gt;0.1,"FLAG","")</f>
        <v/>
      </c>
    </row>
    <row r="25" customFormat="false" ht="15" hidden="false" customHeight="false" outlineLevel="0" collapsed="false">
      <c r="A25" s="14" t="s">
        <v>16</v>
      </c>
      <c r="B25" s="14" t="n">
        <v>9</v>
      </c>
      <c r="C25" s="15" t="n">
        <v>399305.76</v>
      </c>
      <c r="D25" s="15" t="n">
        <v>321322.92</v>
      </c>
      <c r="E25" s="16" t="n">
        <f aca="false">D25-C25</f>
        <v>-77982.84</v>
      </c>
      <c r="F25" s="17" t="n">
        <f aca="false">D25/C25-1</f>
        <v>-0.195296055834506</v>
      </c>
      <c r="G25" s="9" t="str">
        <f aca="false">IF(ABS(F25)&gt;0.1,"FLAG","")</f>
        <v>FLAG</v>
      </c>
    </row>
    <row r="26" customFormat="false" ht="15" hidden="false" customHeight="false" outlineLevel="0" collapsed="false">
      <c r="A26" s="14" t="s">
        <v>16</v>
      </c>
      <c r="B26" s="14" t="n">
        <v>10</v>
      </c>
      <c r="C26" s="15" t="n">
        <v>290936.78</v>
      </c>
      <c r="D26" s="15" t="n">
        <v>399824.89</v>
      </c>
      <c r="E26" s="16" t="n">
        <f aca="false">D26-C26</f>
        <v>108888.11</v>
      </c>
      <c r="F26" s="17" t="n">
        <f aca="false">D26/C26-1</f>
        <v>0.374267254899844</v>
      </c>
      <c r="G26" s="9" t="str">
        <f aca="false">IF(ABS(F26)&gt;0.1,"FLAG","")</f>
        <v>FLAG</v>
      </c>
    </row>
    <row r="27" customFormat="false" ht="15" hidden="false" customHeight="false" outlineLevel="0" collapsed="false">
      <c r="A27" s="14" t="s">
        <v>16</v>
      </c>
      <c r="B27" s="14" t="n">
        <v>11</v>
      </c>
      <c r="C27" s="15" t="n">
        <v>667163.59</v>
      </c>
      <c r="D27" s="15" t="n">
        <v>633655.32</v>
      </c>
      <c r="E27" s="16" t="n">
        <f aca="false">D27-C27</f>
        <v>-33508.27</v>
      </c>
      <c r="F27" s="17" t="n">
        <f aca="false">D27/C27-1</f>
        <v>-0.050224968062181</v>
      </c>
      <c r="G27" s="9" t="str">
        <f aca="false">IF(ABS(F27)&gt;0.1,"FLAG","")</f>
        <v/>
      </c>
    </row>
    <row r="28" customFormat="false" ht="15" hidden="false" customHeight="false" outlineLevel="0" collapsed="false">
      <c r="A28" s="14" t="s">
        <v>16</v>
      </c>
      <c r="B28" s="14" t="n">
        <v>12</v>
      </c>
      <c r="C28" s="15" t="n">
        <v>550919.22</v>
      </c>
      <c r="D28" s="15" t="n">
        <v>709711.79</v>
      </c>
      <c r="E28" s="16" t="n">
        <f aca="false">D28-C28</f>
        <v>158792.57</v>
      </c>
      <c r="F28" s="17" t="n">
        <f aca="false">D28/C28-1</f>
        <v>0.28823203880961</v>
      </c>
      <c r="G28" s="9" t="str">
        <f aca="false">IF(ABS(F28)&gt;0.1,"FLAG","")</f>
        <v>FLAG</v>
      </c>
    </row>
    <row r="29" customFormat="false" ht="15" hidden="false" customHeight="false" outlineLevel="0" collapsed="false">
      <c r="A29" s="14" t="s">
        <v>18</v>
      </c>
      <c r="B29" s="14" t="n">
        <v>1</v>
      </c>
      <c r="C29" s="15" t="n">
        <v>262269.46</v>
      </c>
      <c r="D29" s="15" t="n">
        <v>122560</v>
      </c>
      <c r="E29" s="16" t="n">
        <f aca="false">D29-C29</f>
        <v>-139709.46</v>
      </c>
      <c r="F29" s="17" t="n">
        <f aca="false">D29/C29-1</f>
        <v>-0.532694351831891</v>
      </c>
      <c r="G29" s="9" t="str">
        <f aca="false">IF(ABS(F29)&gt;0.1,"FLAG","")</f>
        <v>FLAG</v>
      </c>
    </row>
    <row r="30" customFormat="false" ht="15" hidden="false" customHeight="false" outlineLevel="0" collapsed="false">
      <c r="A30" s="14" t="s">
        <v>18</v>
      </c>
      <c r="B30" s="14" t="n">
        <v>2</v>
      </c>
      <c r="C30" s="15" t="n">
        <v>413053.14</v>
      </c>
      <c r="D30" s="15" t="n">
        <v>133485.4</v>
      </c>
      <c r="E30" s="16" t="n">
        <f aca="false">D30-C30</f>
        <v>-279567.74</v>
      </c>
      <c r="F30" s="17" t="n">
        <f aca="false">D30/C30-1</f>
        <v>-0.676832380453518</v>
      </c>
      <c r="G30" s="9" t="str">
        <f aca="false">IF(ABS(F30)&gt;0.1,"FLAG","")</f>
        <v>FLAG</v>
      </c>
    </row>
    <row r="31" customFormat="false" ht="15" hidden="false" customHeight="false" outlineLevel="0" collapsed="false">
      <c r="A31" s="14" t="s">
        <v>18</v>
      </c>
      <c r="B31" s="14" t="n">
        <v>3</v>
      </c>
      <c r="C31" s="15" t="n">
        <v>381272.16</v>
      </c>
      <c r="D31" s="15" t="n">
        <v>118718.25</v>
      </c>
      <c r="E31" s="16" t="n">
        <f aca="false">D31-C31</f>
        <v>-262553.91</v>
      </c>
      <c r="F31" s="17" t="n">
        <f aca="false">D31/C31-1</f>
        <v>-0.688625967340495</v>
      </c>
      <c r="G31" s="9" t="str">
        <f aca="false">IF(ABS(F31)&gt;0.1,"FLAG","")</f>
        <v>FLAG</v>
      </c>
    </row>
    <row r="32" customFormat="false" ht="15" hidden="false" customHeight="false" outlineLevel="0" collapsed="false">
      <c r="A32" s="14" t="s">
        <v>18</v>
      </c>
      <c r="B32" s="14" t="n">
        <v>4</v>
      </c>
      <c r="C32" s="15" t="n">
        <v>459788.65</v>
      </c>
      <c r="D32" s="15" t="n">
        <v>344550.57</v>
      </c>
      <c r="E32" s="16" t="n">
        <f aca="false">D32-C32</f>
        <v>-115238.08</v>
      </c>
      <c r="F32" s="17" t="n">
        <f aca="false">D32/C32-1</f>
        <v>-0.250632720055182</v>
      </c>
      <c r="G32" s="9" t="str">
        <f aca="false">IF(ABS(F32)&gt;0.1,"FLAG","")</f>
        <v>FLAG</v>
      </c>
    </row>
    <row r="33" customFormat="false" ht="15" hidden="false" customHeight="false" outlineLevel="0" collapsed="false">
      <c r="A33" s="14" t="s">
        <v>18</v>
      </c>
      <c r="B33" s="14" t="n">
        <v>5</v>
      </c>
      <c r="C33" s="15" t="n">
        <v>470872.38</v>
      </c>
      <c r="D33" s="15" t="n">
        <v>263765.43</v>
      </c>
      <c r="E33" s="16" t="n">
        <f aca="false">D33-C33</f>
        <v>-207106.95</v>
      </c>
      <c r="F33" s="17" t="n">
        <f aca="false">D33/C33-1</f>
        <v>-0.439836692056561</v>
      </c>
      <c r="G33" s="9" t="str">
        <f aca="false">IF(ABS(F33)&gt;0.1,"FLAG","")</f>
        <v>FLAG</v>
      </c>
    </row>
    <row r="34" customFormat="false" ht="15" hidden="false" customHeight="false" outlineLevel="0" collapsed="false">
      <c r="A34" s="14" t="s">
        <v>18</v>
      </c>
      <c r="B34" s="14" t="n">
        <v>6</v>
      </c>
      <c r="C34" s="15" t="n">
        <v>193907.62</v>
      </c>
      <c r="D34" s="15" t="n">
        <v>397446.83</v>
      </c>
      <c r="E34" s="16" t="n">
        <f aca="false">D34-C34</f>
        <v>203539.21</v>
      </c>
      <c r="F34" s="17" t="n">
        <f aca="false">D34/C34-1</f>
        <v>1.04967102375863</v>
      </c>
      <c r="G34" s="9" t="str">
        <f aca="false">IF(ABS(F34)&gt;0.1,"FLAG","")</f>
        <v>FLAG</v>
      </c>
    </row>
    <row r="35" customFormat="false" ht="15" hidden="false" customHeight="false" outlineLevel="0" collapsed="false">
      <c r="A35" s="14" t="s">
        <v>18</v>
      </c>
      <c r="B35" s="14" t="n">
        <v>7</v>
      </c>
      <c r="C35" s="15" t="n">
        <v>432697.75</v>
      </c>
      <c r="D35" s="15" t="n">
        <v>194073.49</v>
      </c>
      <c r="E35" s="16" t="n">
        <f aca="false">D35-C35</f>
        <v>-238624.26</v>
      </c>
      <c r="F35" s="17" t="n">
        <f aca="false">D35/C35-1</f>
        <v>-0.551480242270731</v>
      </c>
      <c r="G35" s="9" t="str">
        <f aca="false">IF(ABS(F35)&gt;0.1,"FLAG","")</f>
        <v>FLAG</v>
      </c>
    </row>
    <row r="36" customFormat="false" ht="15" hidden="false" customHeight="false" outlineLevel="0" collapsed="false">
      <c r="A36" s="14" t="s">
        <v>18</v>
      </c>
      <c r="B36" s="14" t="n">
        <v>8</v>
      </c>
      <c r="C36" s="15" t="n">
        <v>377297.43</v>
      </c>
      <c r="D36" s="15" t="n">
        <v>252584.05</v>
      </c>
      <c r="E36" s="16" t="n">
        <f aca="false">D36-C36</f>
        <v>-124713.38</v>
      </c>
      <c r="F36" s="17" t="n">
        <f aca="false">D36/C36-1</f>
        <v>-0.330543942480605</v>
      </c>
      <c r="G36" s="9" t="str">
        <f aca="false">IF(ABS(F36)&gt;0.1,"FLAG","")</f>
        <v>FLAG</v>
      </c>
    </row>
    <row r="37" customFormat="false" ht="15" hidden="false" customHeight="false" outlineLevel="0" collapsed="false">
      <c r="A37" s="14" t="s">
        <v>18</v>
      </c>
      <c r="B37" s="14" t="n">
        <v>9</v>
      </c>
      <c r="C37" s="15" t="n">
        <v>641355.04</v>
      </c>
      <c r="D37" s="15" t="n">
        <v>211367.01</v>
      </c>
      <c r="E37" s="16" t="n">
        <f aca="false">D37-C37</f>
        <v>-429988.03</v>
      </c>
      <c r="F37" s="17" t="n">
        <f aca="false">D37/C37-1</f>
        <v>-0.670436814529438</v>
      </c>
      <c r="G37" s="9" t="str">
        <f aca="false">IF(ABS(F37)&gt;0.1,"FLAG","")</f>
        <v>FLAG</v>
      </c>
    </row>
    <row r="38" customFormat="false" ht="15" hidden="false" customHeight="false" outlineLevel="0" collapsed="false">
      <c r="A38" s="14" t="s">
        <v>18</v>
      </c>
      <c r="B38" s="14" t="n">
        <v>10</v>
      </c>
      <c r="C38" s="15" t="n">
        <v>425748.23</v>
      </c>
      <c r="D38" s="15" t="n">
        <v>403278.47</v>
      </c>
      <c r="E38" s="16" t="n">
        <f aca="false">D38-C38</f>
        <v>-22469.76</v>
      </c>
      <c r="F38" s="17" t="n">
        <f aca="false">D38/C38-1</f>
        <v>-0.0527771072589075</v>
      </c>
      <c r="G38" s="9" t="str">
        <f aca="false">IF(ABS(F38)&gt;0.1,"FLAG","")</f>
        <v/>
      </c>
    </row>
    <row r="39" customFormat="false" ht="15" hidden="false" customHeight="false" outlineLevel="0" collapsed="false">
      <c r="A39" s="14" t="s">
        <v>18</v>
      </c>
      <c r="B39" s="14" t="n">
        <v>11</v>
      </c>
      <c r="C39" s="15" t="n">
        <v>844628.25</v>
      </c>
      <c r="D39" s="15" t="n">
        <v>332860.85</v>
      </c>
      <c r="E39" s="16" t="n">
        <f aca="false">D39-C39</f>
        <v>-511767.4</v>
      </c>
      <c r="F39" s="17" t="n">
        <f aca="false">D39/C39-1</f>
        <v>-0.605908457359791</v>
      </c>
      <c r="G39" s="9" t="str">
        <f aca="false">IF(ABS(F39)&gt;0.1,"FLAG","")</f>
        <v>FLAG</v>
      </c>
    </row>
    <row r="40" customFormat="false" ht="15" hidden="false" customHeight="false" outlineLevel="0" collapsed="false">
      <c r="A40" s="14" t="s">
        <v>18</v>
      </c>
      <c r="B40" s="14" t="n">
        <v>12</v>
      </c>
      <c r="C40" s="15" t="n">
        <v>577575.13</v>
      </c>
      <c r="D40" s="15" t="n">
        <v>321859.78</v>
      </c>
      <c r="E40" s="16" t="n">
        <f aca="false">D40-C40</f>
        <v>-255715.35</v>
      </c>
      <c r="F40" s="17" t="n">
        <f aca="false">D40/C40-1</f>
        <v>-0.44273954455068</v>
      </c>
      <c r="G40" s="9" t="str">
        <f aca="false">IF(ABS(F40)&gt;0.1,"FLAG","")</f>
        <v>FLAG</v>
      </c>
    </row>
    <row r="41" customFormat="false" ht="15" hidden="false" customHeight="false" outlineLevel="0" collapsed="false">
      <c r="A41" s="14" t="s">
        <v>20</v>
      </c>
      <c r="B41" s="14" t="n">
        <v>1</v>
      </c>
      <c r="C41" s="15" t="n">
        <v>37695.82</v>
      </c>
      <c r="D41" s="15" t="n">
        <v>122476.41</v>
      </c>
      <c r="E41" s="16" t="n">
        <f aca="false">D41-C41</f>
        <v>84780.59</v>
      </c>
      <c r="F41" s="17" t="n">
        <f aca="false">D41/C41-1</f>
        <v>2.24907138245036</v>
      </c>
      <c r="G41" s="9" t="str">
        <f aca="false">IF(ABS(F41)&gt;0.1,"FLAG","")</f>
        <v>FLAG</v>
      </c>
    </row>
    <row r="42" customFormat="false" ht="15" hidden="false" customHeight="false" outlineLevel="0" collapsed="false">
      <c r="A42" s="14" t="s">
        <v>20</v>
      </c>
      <c r="B42" s="14" t="n">
        <v>2</v>
      </c>
      <c r="C42" s="15" t="n">
        <v>38132.13</v>
      </c>
      <c r="D42" s="15" t="n">
        <v>115723.22</v>
      </c>
      <c r="E42" s="16" t="n">
        <f aca="false">D42-C42</f>
        <v>77591.09</v>
      </c>
      <c r="F42" s="17" t="n">
        <f aca="false">D42/C42-1</f>
        <v>2.03479559101472</v>
      </c>
      <c r="G42" s="9" t="str">
        <f aca="false">IF(ABS(F42)&gt;0.1,"FLAG","")</f>
        <v>FLAG</v>
      </c>
    </row>
    <row r="43" customFormat="false" ht="15" hidden="false" customHeight="false" outlineLevel="0" collapsed="false">
      <c r="A43" s="14" t="s">
        <v>20</v>
      </c>
      <c r="B43" s="14" t="n">
        <v>3</v>
      </c>
      <c r="C43" s="15" t="n">
        <v>118645.91</v>
      </c>
      <c r="D43" s="15" t="n">
        <v>92926.12</v>
      </c>
      <c r="E43" s="16" t="n">
        <f aca="false">D43-C43</f>
        <v>-25719.79</v>
      </c>
      <c r="F43" s="17" t="n">
        <f aca="false">D43/C43-1</f>
        <v>-0.216777721204212</v>
      </c>
      <c r="G43" s="9" t="str">
        <f aca="false">IF(ABS(F43)&gt;0.1,"FLAG","")</f>
        <v>FLAG</v>
      </c>
    </row>
    <row r="44" customFormat="false" ht="15" hidden="false" customHeight="false" outlineLevel="0" collapsed="false">
      <c r="A44" s="14" t="s">
        <v>20</v>
      </c>
      <c r="B44" s="14" t="n">
        <v>4</v>
      </c>
      <c r="C44" s="15" t="n">
        <v>97969.23</v>
      </c>
      <c r="D44" s="15" t="n">
        <v>41995.6</v>
      </c>
      <c r="E44" s="16" t="n">
        <f aca="false">D44-C44</f>
        <v>-55973.63</v>
      </c>
      <c r="F44" s="17" t="n">
        <f aca="false">D44/C44-1</f>
        <v>-0.571338878543804</v>
      </c>
      <c r="G44" s="9" t="str">
        <f aca="false">IF(ABS(F44)&gt;0.1,"FLAG","")</f>
        <v>FLAG</v>
      </c>
    </row>
    <row r="45" customFormat="false" ht="15" hidden="false" customHeight="false" outlineLevel="0" collapsed="false">
      <c r="A45" s="14" t="s">
        <v>20</v>
      </c>
      <c r="B45" s="14" t="n">
        <v>5</v>
      </c>
      <c r="C45" s="15" t="n">
        <v>100831.98</v>
      </c>
      <c r="D45" s="15" t="n">
        <v>70150.11</v>
      </c>
      <c r="E45" s="16" t="n">
        <f aca="false">D45-C45</f>
        <v>-30681.87</v>
      </c>
      <c r="F45" s="17" t="n">
        <f aca="false">D45/C45-1</f>
        <v>-0.304287092249899</v>
      </c>
      <c r="G45" s="9" t="str">
        <f aca="false">IF(ABS(F45)&gt;0.1,"FLAG","")</f>
        <v>FLAG</v>
      </c>
    </row>
    <row r="46" customFormat="false" ht="15" hidden="false" customHeight="false" outlineLevel="0" collapsed="false">
      <c r="A46" s="14" t="s">
        <v>20</v>
      </c>
      <c r="B46" s="14" t="n">
        <v>6</v>
      </c>
      <c r="C46" s="15" t="n">
        <v>87668.67</v>
      </c>
      <c r="D46" s="15" t="n">
        <v>55029.58</v>
      </c>
      <c r="E46" s="16" t="n">
        <f aca="false">D46-C46</f>
        <v>-32639.09</v>
      </c>
      <c r="F46" s="17" t="n">
        <f aca="false">D46/C46-1</f>
        <v>-0.372300503703318</v>
      </c>
      <c r="G46" s="9" t="str">
        <f aca="false">IF(ABS(F46)&gt;0.1,"FLAG","")</f>
        <v>FLAG</v>
      </c>
    </row>
    <row r="47" customFormat="false" ht="15" hidden="false" customHeight="false" outlineLevel="0" collapsed="false">
      <c r="A47" s="14" t="s">
        <v>20</v>
      </c>
      <c r="B47" s="14" t="n">
        <v>7</v>
      </c>
      <c r="C47" s="15" t="n">
        <v>113782.16</v>
      </c>
      <c r="D47" s="15" t="n">
        <v>160982.38</v>
      </c>
      <c r="E47" s="16" t="n">
        <f aca="false">D47-C47</f>
        <v>47200.22</v>
      </c>
      <c r="F47" s="17" t="n">
        <f aca="false">D47/C47-1</f>
        <v>0.414829706168348</v>
      </c>
      <c r="G47" s="9" t="str">
        <f aca="false">IF(ABS(F47)&gt;0.1,"FLAG","")</f>
        <v>FLAG</v>
      </c>
    </row>
    <row r="48" customFormat="false" ht="15" hidden="false" customHeight="false" outlineLevel="0" collapsed="false">
      <c r="A48" s="14" t="s">
        <v>20</v>
      </c>
      <c r="B48" s="14" t="n">
        <v>8</v>
      </c>
      <c r="C48" s="15" t="n">
        <v>44116.53</v>
      </c>
      <c r="D48" s="15" t="n">
        <v>186187.91</v>
      </c>
      <c r="E48" s="16" t="n">
        <f aca="false">D48-C48</f>
        <v>142071.38</v>
      </c>
      <c r="F48" s="17" t="n">
        <f aca="false">D48/C48-1</f>
        <v>3.22036615300433</v>
      </c>
      <c r="G48" s="9" t="str">
        <f aca="false">IF(ABS(F48)&gt;0.1,"FLAG","")</f>
        <v>FLAG</v>
      </c>
    </row>
    <row r="49" customFormat="false" ht="15" hidden="false" customHeight="false" outlineLevel="0" collapsed="false">
      <c r="A49" s="14" t="s">
        <v>20</v>
      </c>
      <c r="B49" s="14" t="n">
        <v>9</v>
      </c>
      <c r="C49" s="15" t="n">
        <v>90358.98</v>
      </c>
      <c r="D49" s="15" t="n">
        <v>88583.47</v>
      </c>
      <c r="E49" s="16" t="n">
        <f aca="false">D49-C49</f>
        <v>-1775.50999999999</v>
      </c>
      <c r="F49" s="17" t="n">
        <f aca="false">D49/C49-1</f>
        <v>-0.0196495135292585</v>
      </c>
      <c r="G49" s="9" t="str">
        <f aca="false">IF(ABS(F49)&gt;0.1,"FLAG","")</f>
        <v/>
      </c>
    </row>
    <row r="50" customFormat="false" ht="15" hidden="false" customHeight="false" outlineLevel="0" collapsed="false">
      <c r="A50" s="14" t="s">
        <v>20</v>
      </c>
      <c r="B50" s="14" t="n">
        <v>10</v>
      </c>
      <c r="C50" s="15" t="n">
        <v>123634.36</v>
      </c>
      <c r="D50" s="15" t="n">
        <v>107860.55</v>
      </c>
      <c r="E50" s="16" t="n">
        <f aca="false">D50-C50</f>
        <v>-15773.81</v>
      </c>
      <c r="F50" s="17" t="n">
        <f aca="false">D50/C50-1</f>
        <v>-0.127584354381743</v>
      </c>
      <c r="G50" s="9" t="str">
        <f aca="false">IF(ABS(F50)&gt;0.1,"FLAG","")</f>
        <v>FLAG</v>
      </c>
    </row>
    <row r="51" customFormat="false" ht="15" hidden="false" customHeight="false" outlineLevel="0" collapsed="false">
      <c r="A51" s="14" t="s">
        <v>20</v>
      </c>
      <c r="B51" s="14" t="n">
        <v>11</v>
      </c>
      <c r="C51" s="15" t="n">
        <v>217403.54</v>
      </c>
      <c r="D51" s="15" t="n">
        <v>172517.14</v>
      </c>
      <c r="E51" s="16" t="n">
        <f aca="false">D51-C51</f>
        <v>-44886.4</v>
      </c>
      <c r="F51" s="17" t="n">
        <f aca="false">D51/C51-1</f>
        <v>-0.206465819277828</v>
      </c>
      <c r="G51" s="9" t="str">
        <f aca="false">IF(ABS(F51)&gt;0.1,"FLAG","")</f>
        <v>FLAG</v>
      </c>
    </row>
    <row r="52" customFormat="false" ht="15" hidden="false" customHeight="false" outlineLevel="0" collapsed="false">
      <c r="A52" s="14" t="s">
        <v>20</v>
      </c>
      <c r="B52" s="14" t="n">
        <v>12</v>
      </c>
      <c r="C52" s="15" t="n">
        <v>131016.46</v>
      </c>
      <c r="D52" s="15" t="n">
        <v>193622.74</v>
      </c>
      <c r="E52" s="16" t="n">
        <f aca="false">D52-C52</f>
        <v>62606.28</v>
      </c>
      <c r="F52" s="17" t="n">
        <f aca="false">D52/C52-1</f>
        <v>0.477850492983859</v>
      </c>
      <c r="G52" s="9" t="str">
        <f aca="false">IF(ABS(F52)&gt;0.1,"FLAG","")</f>
        <v>FLAG</v>
      </c>
    </row>
    <row r="53" customFormat="false" ht="15" hidden="false" customHeight="false" outlineLevel="0" collapsed="false">
      <c r="A53" s="14" t="s">
        <v>22</v>
      </c>
      <c r="B53" s="14" t="n">
        <v>1</v>
      </c>
      <c r="C53" s="15" t="n">
        <v>254236.65</v>
      </c>
      <c r="D53" s="15" t="n">
        <v>384673.75</v>
      </c>
      <c r="E53" s="16" t="n">
        <f aca="false">D53-C53</f>
        <v>130437.1</v>
      </c>
      <c r="F53" s="17" t="n">
        <f aca="false">D53/C53-1</f>
        <v>0.513053881098575</v>
      </c>
      <c r="G53" s="9" t="str">
        <f aca="false">IF(ABS(F53)&gt;0.1,"FLAG","")</f>
        <v>FLAG</v>
      </c>
    </row>
    <row r="54" customFormat="false" ht="15" hidden="false" customHeight="false" outlineLevel="0" collapsed="false">
      <c r="A54" s="14" t="s">
        <v>22</v>
      </c>
      <c r="B54" s="14" t="n">
        <v>2</v>
      </c>
      <c r="C54" s="15" t="n">
        <v>227361.27</v>
      </c>
      <c r="D54" s="15" t="n">
        <v>385228.92</v>
      </c>
      <c r="E54" s="16" t="n">
        <f aca="false">D54-C54</f>
        <v>157867.65</v>
      </c>
      <c r="F54" s="17" t="n">
        <f aca="false">D54/C54-1</f>
        <v>0.69434715068226</v>
      </c>
      <c r="G54" s="9" t="str">
        <f aca="false">IF(ABS(F54)&gt;0.1,"FLAG","")</f>
        <v>FLAG</v>
      </c>
    </row>
    <row r="55" customFormat="false" ht="15" hidden="false" customHeight="false" outlineLevel="0" collapsed="false">
      <c r="A55" s="14" t="s">
        <v>22</v>
      </c>
      <c r="B55" s="14" t="n">
        <v>3</v>
      </c>
      <c r="C55" s="15" t="n">
        <v>621978.6</v>
      </c>
      <c r="D55" s="15" t="n">
        <v>508444.98</v>
      </c>
      <c r="E55" s="16" t="n">
        <f aca="false">D55-C55</f>
        <v>-113533.62</v>
      </c>
      <c r="F55" s="17" t="n">
        <f aca="false">D55/C55-1</f>
        <v>-0.182536215876238</v>
      </c>
      <c r="G55" s="9" t="str">
        <f aca="false">IF(ABS(F55)&gt;0.1,"FLAG","")</f>
        <v>FLAG</v>
      </c>
    </row>
    <row r="56" customFormat="false" ht="15" hidden="false" customHeight="false" outlineLevel="0" collapsed="false">
      <c r="A56" s="14" t="s">
        <v>22</v>
      </c>
      <c r="B56" s="14" t="n">
        <v>4</v>
      </c>
      <c r="C56" s="15" t="n">
        <v>584210.31</v>
      </c>
      <c r="D56" s="15" t="n">
        <v>566672.65</v>
      </c>
      <c r="E56" s="16" t="n">
        <f aca="false">D56-C56</f>
        <v>-17537.66</v>
      </c>
      <c r="F56" s="17" t="n">
        <f aca="false">D56/C56-1</f>
        <v>-0.0300194291333202</v>
      </c>
      <c r="G56" s="9" t="str">
        <f aca="false">IF(ABS(F56)&gt;0.1,"FLAG","")</f>
        <v/>
      </c>
    </row>
    <row r="57" customFormat="false" ht="15" hidden="false" customHeight="false" outlineLevel="0" collapsed="false">
      <c r="A57" s="14" t="s">
        <v>22</v>
      </c>
      <c r="B57" s="14" t="n">
        <v>5</v>
      </c>
      <c r="C57" s="15" t="n">
        <v>431598.48</v>
      </c>
      <c r="D57" s="15" t="n">
        <v>474567.29</v>
      </c>
      <c r="E57" s="16" t="n">
        <f aca="false">D57-C57</f>
        <v>42968.81</v>
      </c>
      <c r="F57" s="17" t="n">
        <f aca="false">D57/C57-1</f>
        <v>0.0995573710083502</v>
      </c>
      <c r="G57" s="9" t="str">
        <f aca="false">IF(ABS(F57)&gt;0.1,"FLAG","")</f>
        <v/>
      </c>
    </row>
    <row r="58" customFormat="false" ht="15" hidden="false" customHeight="false" outlineLevel="0" collapsed="false">
      <c r="A58" s="14" t="s">
        <v>22</v>
      </c>
      <c r="B58" s="14" t="n">
        <v>6</v>
      </c>
      <c r="C58" s="15" t="n">
        <v>441898.45</v>
      </c>
      <c r="D58" s="15" t="n">
        <v>464868.52</v>
      </c>
      <c r="E58" s="16" t="n">
        <f aca="false">D58-C58</f>
        <v>22970.07</v>
      </c>
      <c r="F58" s="17" t="n">
        <f aca="false">D58/C58-1</f>
        <v>0.0519804267247372</v>
      </c>
      <c r="G58" s="9" t="str">
        <f aca="false">IF(ABS(F58)&gt;0.1,"FLAG","")</f>
        <v/>
      </c>
    </row>
    <row r="59" customFormat="false" ht="15" hidden="false" customHeight="false" outlineLevel="0" collapsed="false">
      <c r="A59" s="14" t="s">
        <v>22</v>
      </c>
      <c r="B59" s="14" t="n">
        <v>7</v>
      </c>
      <c r="C59" s="15" t="n">
        <v>606911.25</v>
      </c>
      <c r="D59" s="15" t="n">
        <v>549183.84</v>
      </c>
      <c r="E59" s="16" t="n">
        <f aca="false">D59-C59</f>
        <v>-57727.41</v>
      </c>
      <c r="F59" s="17" t="n">
        <f aca="false">D59/C59-1</f>
        <v>-0.0951167242327441</v>
      </c>
      <c r="G59" s="9" t="str">
        <f aca="false">IF(ABS(F59)&gt;0.1,"FLAG","")</f>
        <v/>
      </c>
    </row>
    <row r="60" customFormat="false" ht="15" hidden="false" customHeight="false" outlineLevel="0" collapsed="false">
      <c r="A60" s="14" t="s">
        <v>22</v>
      </c>
      <c r="B60" s="14" t="n">
        <v>8</v>
      </c>
      <c r="C60" s="15" t="n">
        <v>499864.74</v>
      </c>
      <c r="D60" s="15" t="n">
        <v>451719.39</v>
      </c>
      <c r="E60" s="16" t="n">
        <f aca="false">D60-C60</f>
        <v>-48145.35</v>
      </c>
      <c r="F60" s="17" t="n">
        <f aca="false">D60/C60-1</f>
        <v>-0.0963167556087272</v>
      </c>
      <c r="G60" s="9" t="str">
        <f aca="false">IF(ABS(F60)&gt;0.1,"FLAG","")</f>
        <v/>
      </c>
    </row>
    <row r="61" customFormat="false" ht="15" hidden="false" customHeight="false" outlineLevel="0" collapsed="false">
      <c r="A61" s="14" t="s">
        <v>22</v>
      </c>
      <c r="B61" s="14" t="n">
        <v>9</v>
      </c>
      <c r="C61" s="15" t="n">
        <v>443032.7</v>
      </c>
      <c r="D61" s="15" t="n">
        <v>497851.92</v>
      </c>
      <c r="E61" s="16" t="n">
        <f aca="false">D61-C61</f>
        <v>54819.22</v>
      </c>
      <c r="F61" s="17" t="n">
        <f aca="false">D61/C61-1</f>
        <v>0.123736284025987</v>
      </c>
      <c r="G61" s="9" t="str">
        <f aca="false">IF(ABS(F61)&gt;0.1,"FLAG","")</f>
        <v>FLAG</v>
      </c>
    </row>
    <row r="62" customFormat="false" ht="15" hidden="false" customHeight="false" outlineLevel="0" collapsed="false">
      <c r="A62" s="14" t="s">
        <v>22</v>
      </c>
      <c r="B62" s="14" t="n">
        <v>10</v>
      </c>
      <c r="C62" s="15" t="n">
        <v>631088.05</v>
      </c>
      <c r="D62" s="15" t="n">
        <v>797950.96</v>
      </c>
      <c r="E62" s="16" t="n">
        <f aca="false">D62-C62</f>
        <v>166862.91</v>
      </c>
      <c r="F62" s="17" t="n">
        <f aca="false">D62/C62-1</f>
        <v>0.264405117479249</v>
      </c>
      <c r="G62" s="9" t="str">
        <f aca="false">IF(ABS(F62)&gt;0.1,"FLAG","")</f>
        <v>FLAG</v>
      </c>
    </row>
    <row r="63" customFormat="false" ht="15" hidden="false" customHeight="false" outlineLevel="0" collapsed="false">
      <c r="A63" s="14" t="s">
        <v>22</v>
      </c>
      <c r="B63" s="14" t="n">
        <v>11</v>
      </c>
      <c r="C63" s="15" t="n">
        <v>707319.05</v>
      </c>
      <c r="D63" s="15" t="n">
        <v>790688.09</v>
      </c>
      <c r="E63" s="16" t="n">
        <f aca="false">D63-C63</f>
        <v>83369.0399999999</v>
      </c>
      <c r="F63" s="17" t="n">
        <f aca="false">D63/C63-1</f>
        <v>0.117866244377272</v>
      </c>
      <c r="G63" s="9" t="str">
        <f aca="false">IF(ABS(F63)&gt;0.1,"FLAG","")</f>
        <v>FLAG</v>
      </c>
    </row>
    <row r="64" customFormat="false" ht="15" hidden="false" customHeight="false" outlineLevel="0" collapsed="false">
      <c r="A64" s="14" t="s">
        <v>22</v>
      </c>
      <c r="B64" s="14" t="n">
        <v>12</v>
      </c>
      <c r="C64" s="15" t="n">
        <v>852424.45</v>
      </c>
      <c r="D64" s="15" t="n">
        <v>1222879.14</v>
      </c>
      <c r="E64" s="16" t="n">
        <f aca="false">D64-C64</f>
        <v>370454.69</v>
      </c>
      <c r="F64" s="17" t="n">
        <f aca="false">D64/C64-1</f>
        <v>0.434589470069752</v>
      </c>
      <c r="G64" s="9" t="str">
        <f aca="false">IF(ABS(F64)&gt;0.1,"FLAG","")</f>
        <v>FLAG</v>
      </c>
    </row>
  </sheetData>
  <conditionalFormatting sqref="F5:F6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expression" priority="3" aboveAverage="0" equalAverage="0" bottom="0" percent="0" rank="0" text="" dxfId="0">
      <formula>ABS(F5)&gt;0.1</formula>
    </cfRule>
  </conditionalFormatting>
  <conditionalFormatting sqref="G5:G64">
    <cfRule type="cellIs" priority="4" operator="equal" aboveAverage="0" equalAverage="0" bottom="0" percent="0" rank="0" text="" dxfId="0">
      <formula>"FLAG"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5" min="3" style="0" width="13"/>
    <col collapsed="false" customWidth="true" hidden="false" outlineLevel="0" max="7" min="6" style="0" width="12"/>
  </cols>
  <sheetData>
    <row r="1" customFormat="false" ht="19.7" hidden="false" customHeight="false" outlineLevel="0" collapsed="false">
      <c r="A1" s="12" t="s">
        <v>30</v>
      </c>
    </row>
    <row r="2" customFormat="false" ht="15" hidden="false" customHeight="false" outlineLevel="0" collapsed="false">
      <c r="A2" s="13" t="s">
        <v>31</v>
      </c>
    </row>
    <row r="4" customFormat="false" ht="15" hidden="false" customHeight="false" outlineLevel="0" collapsed="false">
      <c r="A4" s="8" t="s">
        <v>13</v>
      </c>
      <c r="B4" s="8" t="s">
        <v>27</v>
      </c>
      <c r="C4" s="8" t="s">
        <v>10</v>
      </c>
      <c r="D4" s="8" t="s">
        <v>11</v>
      </c>
      <c r="E4" s="8" t="s">
        <v>28</v>
      </c>
      <c r="F4" s="8" t="s">
        <v>12</v>
      </c>
      <c r="G4" s="8" t="s">
        <v>29</v>
      </c>
    </row>
    <row r="5" customFormat="false" ht="15" hidden="false" customHeight="false" outlineLevel="0" collapsed="false">
      <c r="A5" s="14" t="s">
        <v>15</v>
      </c>
      <c r="B5" s="14" t="n">
        <v>1</v>
      </c>
      <c r="C5" s="15" t="n">
        <v>70500</v>
      </c>
      <c r="D5" s="15" t="n">
        <v>63450</v>
      </c>
      <c r="E5" s="16" t="n">
        <f aca="false">D5-C5</f>
        <v>-7050</v>
      </c>
      <c r="F5" s="17" t="n">
        <f aca="false">D5/C5-1</f>
        <v>-0.1</v>
      </c>
      <c r="G5" s="9" t="str">
        <f aca="false">IF(F5&gt;0.05,"OVERSPEND",IF(F5&lt;-0.05,"UNDERSPEND",""))</f>
        <v>UNDERSPEND</v>
      </c>
    </row>
    <row r="6" customFormat="false" ht="15" hidden="false" customHeight="false" outlineLevel="0" collapsed="false">
      <c r="A6" s="14" t="s">
        <v>15</v>
      </c>
      <c r="B6" s="14" t="n">
        <v>2</v>
      </c>
      <c r="C6" s="15" t="n">
        <v>71000</v>
      </c>
      <c r="D6" s="15" t="n">
        <v>63900</v>
      </c>
      <c r="E6" s="16" t="n">
        <f aca="false">D6-C6</f>
        <v>-7100</v>
      </c>
      <c r="F6" s="17" t="n">
        <f aca="false">D6/C6-1</f>
        <v>-0.1</v>
      </c>
      <c r="G6" s="9" t="str">
        <f aca="false">IF(F6&gt;0.05,"OVERSPEND",IF(F6&lt;-0.05,"UNDERSPEND",""))</f>
        <v>UNDERSPEND</v>
      </c>
    </row>
    <row r="7" customFormat="false" ht="15" hidden="false" customHeight="false" outlineLevel="0" collapsed="false">
      <c r="A7" s="14" t="s">
        <v>15</v>
      </c>
      <c r="B7" s="14" t="n">
        <v>3</v>
      </c>
      <c r="C7" s="15" t="n">
        <v>71500</v>
      </c>
      <c r="D7" s="15" t="n">
        <v>64350</v>
      </c>
      <c r="E7" s="16" t="n">
        <f aca="false">D7-C7</f>
        <v>-7150</v>
      </c>
      <c r="F7" s="17" t="n">
        <f aca="false">D7/C7-1</f>
        <v>-0.1</v>
      </c>
      <c r="G7" s="9" t="str">
        <f aca="false">IF(F7&gt;0.05,"OVERSPEND",IF(F7&lt;-0.05,"UNDERSPEND",""))</f>
        <v>UNDERSPEND</v>
      </c>
    </row>
    <row r="8" customFormat="false" ht="15" hidden="false" customHeight="false" outlineLevel="0" collapsed="false">
      <c r="A8" s="14" t="s">
        <v>15</v>
      </c>
      <c r="B8" s="14" t="n">
        <v>4</v>
      </c>
      <c r="C8" s="15" t="n">
        <v>72000</v>
      </c>
      <c r="D8" s="15" t="n">
        <v>64800</v>
      </c>
      <c r="E8" s="16" t="n">
        <f aca="false">D8-C8</f>
        <v>-7200</v>
      </c>
      <c r="F8" s="17" t="n">
        <f aca="false">D8/C8-1</f>
        <v>-0.1</v>
      </c>
      <c r="G8" s="9" t="str">
        <f aca="false">IF(F8&gt;0.05,"OVERSPEND",IF(F8&lt;-0.05,"UNDERSPEND",""))</f>
        <v>UNDERSPEND</v>
      </c>
    </row>
    <row r="9" customFormat="false" ht="15" hidden="false" customHeight="false" outlineLevel="0" collapsed="false">
      <c r="A9" s="14" t="s">
        <v>15</v>
      </c>
      <c r="B9" s="14" t="n">
        <v>5</v>
      </c>
      <c r="C9" s="15" t="n">
        <v>72500</v>
      </c>
      <c r="D9" s="15" t="n">
        <v>65250</v>
      </c>
      <c r="E9" s="16" t="n">
        <f aca="false">D9-C9</f>
        <v>-7250</v>
      </c>
      <c r="F9" s="17" t="n">
        <f aca="false">D9/C9-1</f>
        <v>-0.1</v>
      </c>
      <c r="G9" s="9" t="str">
        <f aca="false">IF(F9&gt;0.05,"OVERSPEND",IF(F9&lt;-0.05,"UNDERSPEND",""))</f>
        <v>UNDERSPEND</v>
      </c>
    </row>
    <row r="10" customFormat="false" ht="15" hidden="false" customHeight="false" outlineLevel="0" collapsed="false">
      <c r="A10" s="14" t="s">
        <v>15</v>
      </c>
      <c r="B10" s="14" t="n">
        <v>6</v>
      </c>
      <c r="C10" s="15" t="n">
        <v>73000</v>
      </c>
      <c r="D10" s="15" t="n">
        <v>65700</v>
      </c>
      <c r="E10" s="16" t="n">
        <f aca="false">D10-C10</f>
        <v>-7300</v>
      </c>
      <c r="F10" s="17" t="n">
        <f aca="false">D10/C10-1</f>
        <v>-0.1</v>
      </c>
      <c r="G10" s="9" t="str">
        <f aca="false">IF(F10&gt;0.05,"OVERSPEND",IF(F10&lt;-0.05,"UNDERSPEND",""))</f>
        <v>UNDERSPEND</v>
      </c>
    </row>
    <row r="11" customFormat="false" ht="15" hidden="false" customHeight="false" outlineLevel="0" collapsed="false">
      <c r="A11" s="14" t="s">
        <v>15</v>
      </c>
      <c r="B11" s="14" t="n">
        <v>7</v>
      </c>
      <c r="C11" s="15" t="n">
        <v>73500</v>
      </c>
      <c r="D11" s="15" t="n">
        <v>66150</v>
      </c>
      <c r="E11" s="16" t="n">
        <f aca="false">D11-C11</f>
        <v>-7350</v>
      </c>
      <c r="F11" s="17" t="n">
        <f aca="false">D11/C11-1</f>
        <v>-0.1</v>
      </c>
      <c r="G11" s="9" t="str">
        <f aca="false">IF(F11&gt;0.05,"OVERSPEND",IF(F11&lt;-0.05,"UNDERSPEND",""))</f>
        <v>UNDERSPEND</v>
      </c>
    </row>
    <row r="12" customFormat="false" ht="15" hidden="false" customHeight="false" outlineLevel="0" collapsed="false">
      <c r="A12" s="14" t="s">
        <v>15</v>
      </c>
      <c r="B12" s="14" t="n">
        <v>8</v>
      </c>
      <c r="C12" s="15" t="n">
        <v>74000</v>
      </c>
      <c r="D12" s="15" t="n">
        <v>66600</v>
      </c>
      <c r="E12" s="16" t="n">
        <f aca="false">D12-C12</f>
        <v>-7400</v>
      </c>
      <c r="F12" s="17" t="n">
        <f aca="false">D12/C12-1</f>
        <v>-0.1</v>
      </c>
      <c r="G12" s="9" t="str">
        <f aca="false">IF(F12&gt;0.05,"OVERSPEND",IF(F12&lt;-0.05,"UNDERSPEND",""))</f>
        <v>UNDERSPEND</v>
      </c>
    </row>
    <row r="13" customFormat="false" ht="15" hidden="false" customHeight="false" outlineLevel="0" collapsed="false">
      <c r="A13" s="14" t="s">
        <v>15</v>
      </c>
      <c r="B13" s="14" t="n">
        <v>9</v>
      </c>
      <c r="C13" s="15" t="n">
        <v>74500</v>
      </c>
      <c r="D13" s="15" t="n">
        <v>67050</v>
      </c>
      <c r="E13" s="16" t="n">
        <f aca="false">D13-C13</f>
        <v>-7450</v>
      </c>
      <c r="F13" s="17" t="n">
        <f aca="false">D13/C13-1</f>
        <v>-0.1</v>
      </c>
      <c r="G13" s="9" t="str">
        <f aca="false">IF(F13&gt;0.05,"OVERSPEND",IF(F13&lt;-0.05,"UNDERSPEND",""))</f>
        <v>UNDERSPEND</v>
      </c>
    </row>
    <row r="14" customFormat="false" ht="15" hidden="false" customHeight="false" outlineLevel="0" collapsed="false">
      <c r="A14" s="14" t="s">
        <v>15</v>
      </c>
      <c r="B14" s="14" t="n">
        <v>10</v>
      </c>
      <c r="C14" s="15" t="n">
        <v>75000</v>
      </c>
      <c r="D14" s="15" t="n">
        <v>67500</v>
      </c>
      <c r="E14" s="16" t="n">
        <f aca="false">D14-C14</f>
        <v>-7500</v>
      </c>
      <c r="F14" s="17" t="n">
        <f aca="false">D14/C14-1</f>
        <v>-0.1</v>
      </c>
      <c r="G14" s="9" t="str">
        <f aca="false">IF(F14&gt;0.05,"OVERSPEND",IF(F14&lt;-0.05,"UNDERSPEND",""))</f>
        <v>UNDERSPEND</v>
      </c>
    </row>
    <row r="15" customFormat="false" ht="15" hidden="false" customHeight="false" outlineLevel="0" collapsed="false">
      <c r="A15" s="14" t="s">
        <v>15</v>
      </c>
      <c r="B15" s="14" t="n">
        <v>11</v>
      </c>
      <c r="C15" s="15" t="n">
        <v>75500</v>
      </c>
      <c r="D15" s="15" t="n">
        <v>67950</v>
      </c>
      <c r="E15" s="16" t="n">
        <f aca="false">D15-C15</f>
        <v>-7550</v>
      </c>
      <c r="F15" s="17" t="n">
        <f aca="false">D15/C15-1</f>
        <v>-0.1</v>
      </c>
      <c r="G15" s="9" t="str">
        <f aca="false">IF(F15&gt;0.05,"OVERSPEND",IF(F15&lt;-0.05,"UNDERSPEND",""))</f>
        <v>UNDERSPEND</v>
      </c>
    </row>
    <row r="16" customFormat="false" ht="15" hidden="false" customHeight="false" outlineLevel="0" collapsed="false">
      <c r="A16" s="14" t="s">
        <v>15</v>
      </c>
      <c r="B16" s="14" t="n">
        <v>12</v>
      </c>
      <c r="C16" s="15" t="n">
        <v>76000</v>
      </c>
      <c r="D16" s="15" t="n">
        <v>68400</v>
      </c>
      <c r="E16" s="16" t="n">
        <f aca="false">D16-C16</f>
        <v>-7600</v>
      </c>
      <c r="F16" s="17" t="n">
        <f aca="false">D16/C16-1</f>
        <v>-0.1</v>
      </c>
      <c r="G16" s="9" t="str">
        <f aca="false">IF(F16&gt;0.05,"OVERSPEND",IF(F16&lt;-0.05,"UNDERSPEND",""))</f>
        <v>UNDERSPEND</v>
      </c>
    </row>
    <row r="17" customFormat="false" ht="15" hidden="false" customHeight="false" outlineLevel="0" collapsed="false">
      <c r="A17" s="14" t="s">
        <v>17</v>
      </c>
      <c r="B17" s="14" t="n">
        <v>1</v>
      </c>
      <c r="C17" s="15" t="n">
        <v>90000</v>
      </c>
      <c r="D17" s="15" t="n">
        <v>91620</v>
      </c>
      <c r="E17" s="16" t="n">
        <f aca="false">D17-C17</f>
        <v>1620</v>
      </c>
      <c r="F17" s="17" t="n">
        <f aca="false">D17/C17-1</f>
        <v>0.018</v>
      </c>
      <c r="G17" s="9" t="str">
        <f aca="false">IF(F17&gt;0.05,"OVERSPEND",IF(F17&lt;-0.05,"UNDERSPEND",""))</f>
        <v/>
      </c>
    </row>
    <row r="18" customFormat="false" ht="15" hidden="false" customHeight="false" outlineLevel="0" collapsed="false">
      <c r="A18" s="14" t="s">
        <v>17</v>
      </c>
      <c r="B18" s="14" t="n">
        <v>2</v>
      </c>
      <c r="C18" s="15" t="n">
        <v>90000</v>
      </c>
      <c r="D18" s="15" t="n">
        <v>93240</v>
      </c>
      <c r="E18" s="16" t="n">
        <f aca="false">D18-C18</f>
        <v>3240</v>
      </c>
      <c r="F18" s="17" t="n">
        <f aca="false">D18/C18-1</f>
        <v>0.036</v>
      </c>
      <c r="G18" s="9" t="str">
        <f aca="false">IF(F18&gt;0.05,"OVERSPEND",IF(F18&lt;-0.05,"UNDERSPEND",""))</f>
        <v/>
      </c>
    </row>
    <row r="19" customFormat="false" ht="15" hidden="false" customHeight="false" outlineLevel="0" collapsed="false">
      <c r="A19" s="14" t="s">
        <v>17</v>
      </c>
      <c r="B19" s="14" t="n">
        <v>3</v>
      </c>
      <c r="C19" s="15" t="n">
        <v>90000</v>
      </c>
      <c r="D19" s="15" t="n">
        <v>94860</v>
      </c>
      <c r="E19" s="16" t="n">
        <f aca="false">D19-C19</f>
        <v>4860</v>
      </c>
      <c r="F19" s="17" t="n">
        <f aca="false">D19/C19-1</f>
        <v>0.0540000000000001</v>
      </c>
      <c r="G19" s="9" t="str">
        <f aca="false">IF(F19&gt;0.05,"OVERSPEND",IF(F19&lt;-0.05,"UNDERSPEND",""))</f>
        <v>OVERSPEND</v>
      </c>
    </row>
    <row r="20" customFormat="false" ht="15" hidden="false" customHeight="false" outlineLevel="0" collapsed="false">
      <c r="A20" s="14" t="s">
        <v>17</v>
      </c>
      <c r="B20" s="14" t="n">
        <v>4</v>
      </c>
      <c r="C20" s="15" t="n">
        <v>90000</v>
      </c>
      <c r="D20" s="15" t="n">
        <v>96480</v>
      </c>
      <c r="E20" s="16" t="n">
        <f aca="false">D20-C20</f>
        <v>6480</v>
      </c>
      <c r="F20" s="17" t="n">
        <f aca="false">D20/C20-1</f>
        <v>0.0720000000000001</v>
      </c>
      <c r="G20" s="9" t="str">
        <f aca="false">IF(F20&gt;0.05,"OVERSPEND",IF(F20&lt;-0.05,"UNDERSPEND",""))</f>
        <v>OVERSPEND</v>
      </c>
    </row>
    <row r="21" customFormat="false" ht="15" hidden="false" customHeight="false" outlineLevel="0" collapsed="false">
      <c r="A21" s="14" t="s">
        <v>17</v>
      </c>
      <c r="B21" s="14" t="n">
        <v>5</v>
      </c>
      <c r="C21" s="15" t="n">
        <v>90000</v>
      </c>
      <c r="D21" s="15" t="n">
        <v>98100</v>
      </c>
      <c r="E21" s="16" t="n">
        <f aca="false">D21-C21</f>
        <v>8100</v>
      </c>
      <c r="F21" s="17" t="n">
        <f aca="false">D21/C21-1</f>
        <v>0.0900000000000001</v>
      </c>
      <c r="G21" s="9" t="str">
        <f aca="false">IF(F21&gt;0.05,"OVERSPEND",IF(F21&lt;-0.05,"UNDERSPEND",""))</f>
        <v>OVERSPEND</v>
      </c>
    </row>
    <row r="22" customFormat="false" ht="15" hidden="false" customHeight="false" outlineLevel="0" collapsed="false">
      <c r="A22" s="14" t="s">
        <v>17</v>
      </c>
      <c r="B22" s="14" t="n">
        <v>6</v>
      </c>
      <c r="C22" s="15" t="n">
        <v>90000</v>
      </c>
      <c r="D22" s="15" t="n">
        <v>99720</v>
      </c>
      <c r="E22" s="16" t="n">
        <f aca="false">D22-C22</f>
        <v>9720</v>
      </c>
      <c r="F22" s="17" t="n">
        <f aca="false">D22/C22-1</f>
        <v>0.108</v>
      </c>
      <c r="G22" s="9" t="str">
        <f aca="false">IF(F22&gt;0.05,"OVERSPEND",IF(F22&lt;-0.05,"UNDERSPEND",""))</f>
        <v>OVERSPEND</v>
      </c>
    </row>
    <row r="23" customFormat="false" ht="15" hidden="false" customHeight="false" outlineLevel="0" collapsed="false">
      <c r="A23" s="14" t="s">
        <v>17</v>
      </c>
      <c r="B23" s="14" t="n">
        <v>7</v>
      </c>
      <c r="C23" s="15" t="n">
        <v>90000</v>
      </c>
      <c r="D23" s="15" t="n">
        <v>101340</v>
      </c>
      <c r="E23" s="16" t="n">
        <f aca="false">D23-C23</f>
        <v>11340</v>
      </c>
      <c r="F23" s="17" t="n">
        <f aca="false">D23/C23-1</f>
        <v>0.126</v>
      </c>
      <c r="G23" s="9" t="str">
        <f aca="false">IF(F23&gt;0.05,"OVERSPEND",IF(F23&lt;-0.05,"UNDERSPEND",""))</f>
        <v>OVERSPEND</v>
      </c>
    </row>
    <row r="24" customFormat="false" ht="15" hidden="false" customHeight="false" outlineLevel="0" collapsed="false">
      <c r="A24" s="14" t="s">
        <v>17</v>
      </c>
      <c r="B24" s="14" t="n">
        <v>8</v>
      </c>
      <c r="C24" s="15" t="n">
        <v>90000</v>
      </c>
      <c r="D24" s="15" t="n">
        <v>102960</v>
      </c>
      <c r="E24" s="16" t="n">
        <f aca="false">D24-C24</f>
        <v>12960</v>
      </c>
      <c r="F24" s="17" t="n">
        <f aca="false">D24/C24-1</f>
        <v>0.144</v>
      </c>
      <c r="G24" s="9" t="str">
        <f aca="false">IF(F24&gt;0.05,"OVERSPEND",IF(F24&lt;-0.05,"UNDERSPEND",""))</f>
        <v>OVERSPEND</v>
      </c>
    </row>
    <row r="25" customFormat="false" ht="15" hidden="false" customHeight="false" outlineLevel="0" collapsed="false">
      <c r="A25" s="14" t="s">
        <v>17</v>
      </c>
      <c r="B25" s="14" t="n">
        <v>9</v>
      </c>
      <c r="C25" s="15" t="n">
        <v>90000</v>
      </c>
      <c r="D25" s="15" t="n">
        <v>104580</v>
      </c>
      <c r="E25" s="16" t="n">
        <f aca="false">D25-C25</f>
        <v>14580</v>
      </c>
      <c r="F25" s="17" t="n">
        <f aca="false">D25/C25-1</f>
        <v>0.162</v>
      </c>
      <c r="G25" s="9" t="str">
        <f aca="false">IF(F25&gt;0.05,"OVERSPEND",IF(F25&lt;-0.05,"UNDERSPEND",""))</f>
        <v>OVERSPEND</v>
      </c>
    </row>
    <row r="26" customFormat="false" ht="15" hidden="false" customHeight="false" outlineLevel="0" collapsed="false">
      <c r="A26" s="14" t="s">
        <v>17</v>
      </c>
      <c r="B26" s="14" t="n">
        <v>10</v>
      </c>
      <c r="C26" s="15" t="n">
        <v>90000</v>
      </c>
      <c r="D26" s="15" t="n">
        <v>106200</v>
      </c>
      <c r="E26" s="16" t="n">
        <f aca="false">D26-C26</f>
        <v>16200</v>
      </c>
      <c r="F26" s="17" t="n">
        <f aca="false">D26/C26-1</f>
        <v>0.18</v>
      </c>
      <c r="G26" s="9" t="str">
        <f aca="false">IF(F26&gt;0.05,"OVERSPEND",IF(F26&lt;-0.05,"UNDERSPEND",""))</f>
        <v>OVERSPEND</v>
      </c>
    </row>
    <row r="27" customFormat="false" ht="15" hidden="false" customHeight="false" outlineLevel="0" collapsed="false">
      <c r="A27" s="14" t="s">
        <v>17</v>
      </c>
      <c r="B27" s="14" t="n">
        <v>11</v>
      </c>
      <c r="C27" s="15" t="n">
        <v>90000</v>
      </c>
      <c r="D27" s="15" t="n">
        <v>107820</v>
      </c>
      <c r="E27" s="16" t="n">
        <f aca="false">D27-C27</f>
        <v>17820</v>
      </c>
      <c r="F27" s="17" t="n">
        <f aca="false">D27/C27-1</f>
        <v>0.198</v>
      </c>
      <c r="G27" s="9" t="str">
        <f aca="false">IF(F27&gt;0.05,"OVERSPEND",IF(F27&lt;-0.05,"UNDERSPEND",""))</f>
        <v>OVERSPEND</v>
      </c>
    </row>
    <row r="28" customFormat="false" ht="15" hidden="false" customHeight="false" outlineLevel="0" collapsed="false">
      <c r="A28" s="14" t="s">
        <v>17</v>
      </c>
      <c r="B28" s="14" t="n">
        <v>12</v>
      </c>
      <c r="C28" s="15" t="n">
        <v>90000</v>
      </c>
      <c r="D28" s="15" t="n">
        <v>109440</v>
      </c>
      <c r="E28" s="16" t="n">
        <f aca="false">D28-C28</f>
        <v>19440</v>
      </c>
      <c r="F28" s="17" t="n">
        <f aca="false">D28/C28-1</f>
        <v>0.216</v>
      </c>
      <c r="G28" s="9" t="str">
        <f aca="false">IF(F28&gt;0.05,"OVERSPEND",IF(F28&lt;-0.05,"UNDERSPEND",""))</f>
        <v>OVERSPEND</v>
      </c>
    </row>
    <row r="29" customFormat="false" ht="15" hidden="false" customHeight="false" outlineLevel="0" collapsed="false">
      <c r="A29" s="14" t="s">
        <v>19</v>
      </c>
      <c r="B29" s="14" t="n">
        <v>1</v>
      </c>
      <c r="C29" s="15" t="n">
        <v>126800</v>
      </c>
      <c r="D29" s="15" t="n">
        <v>119192</v>
      </c>
      <c r="E29" s="16" t="n">
        <f aca="false">D29-C29</f>
        <v>-7608</v>
      </c>
      <c r="F29" s="17" t="n">
        <f aca="false">D29/C29-1</f>
        <v>-0.0600000000000001</v>
      </c>
      <c r="G29" s="9" t="str">
        <f aca="false">IF(F29&gt;0.05,"OVERSPEND",IF(F29&lt;-0.05,"UNDERSPEND",""))</f>
        <v>UNDERSPEND</v>
      </c>
    </row>
    <row r="30" customFormat="false" ht="15" hidden="false" customHeight="false" outlineLevel="0" collapsed="false">
      <c r="A30" s="14" t="s">
        <v>19</v>
      </c>
      <c r="B30" s="14" t="n">
        <v>2</v>
      </c>
      <c r="C30" s="15" t="n">
        <v>128600</v>
      </c>
      <c r="D30" s="15" t="n">
        <v>120884</v>
      </c>
      <c r="E30" s="16" t="n">
        <f aca="false">D30-C30</f>
        <v>-7716</v>
      </c>
      <c r="F30" s="17" t="n">
        <f aca="false">D30/C30-1</f>
        <v>-0.0600000000000001</v>
      </c>
      <c r="G30" s="9" t="str">
        <f aca="false">IF(F30&gt;0.05,"OVERSPEND",IF(F30&lt;-0.05,"UNDERSPEND",""))</f>
        <v>UNDERSPEND</v>
      </c>
    </row>
    <row r="31" customFormat="false" ht="15" hidden="false" customHeight="false" outlineLevel="0" collapsed="false">
      <c r="A31" s="14" t="s">
        <v>19</v>
      </c>
      <c r="B31" s="14" t="n">
        <v>3</v>
      </c>
      <c r="C31" s="15" t="n">
        <v>130400</v>
      </c>
      <c r="D31" s="15" t="n">
        <v>122576</v>
      </c>
      <c r="E31" s="16" t="n">
        <f aca="false">D31-C31</f>
        <v>-7824</v>
      </c>
      <c r="F31" s="17" t="n">
        <f aca="false">D31/C31-1</f>
        <v>-0.0600000000000001</v>
      </c>
      <c r="G31" s="9" t="str">
        <f aca="false">IF(F31&gt;0.05,"OVERSPEND",IF(F31&lt;-0.05,"UNDERSPEND",""))</f>
        <v>UNDERSPEND</v>
      </c>
    </row>
    <row r="32" customFormat="false" ht="15" hidden="false" customHeight="false" outlineLevel="0" collapsed="false">
      <c r="A32" s="14" t="s">
        <v>19</v>
      </c>
      <c r="B32" s="14" t="n">
        <v>4</v>
      </c>
      <c r="C32" s="15" t="n">
        <v>132200</v>
      </c>
      <c r="D32" s="15" t="n">
        <v>124268</v>
      </c>
      <c r="E32" s="16" t="n">
        <f aca="false">D32-C32</f>
        <v>-7932</v>
      </c>
      <c r="F32" s="17" t="n">
        <f aca="false">D32/C32-1</f>
        <v>-0.0600000000000001</v>
      </c>
      <c r="G32" s="9" t="str">
        <f aca="false">IF(F32&gt;0.05,"OVERSPEND",IF(F32&lt;-0.05,"UNDERSPEND",""))</f>
        <v>UNDERSPEND</v>
      </c>
    </row>
    <row r="33" customFormat="false" ht="15" hidden="false" customHeight="false" outlineLevel="0" collapsed="false">
      <c r="A33" s="14" t="s">
        <v>19</v>
      </c>
      <c r="B33" s="14" t="n">
        <v>5</v>
      </c>
      <c r="C33" s="15" t="n">
        <v>134000</v>
      </c>
      <c r="D33" s="15" t="n">
        <v>125960</v>
      </c>
      <c r="E33" s="16" t="n">
        <f aca="false">D33-C33</f>
        <v>-8040</v>
      </c>
      <c r="F33" s="17" t="n">
        <f aca="false">D33/C33-1</f>
        <v>-0.0600000000000001</v>
      </c>
      <c r="G33" s="9" t="str">
        <f aca="false">IF(F33&gt;0.05,"OVERSPEND",IF(F33&lt;-0.05,"UNDERSPEND",""))</f>
        <v>UNDERSPEND</v>
      </c>
    </row>
    <row r="34" customFormat="false" ht="15" hidden="false" customHeight="false" outlineLevel="0" collapsed="false">
      <c r="A34" s="14" t="s">
        <v>19</v>
      </c>
      <c r="B34" s="14" t="n">
        <v>6</v>
      </c>
      <c r="C34" s="15" t="n">
        <v>135800</v>
      </c>
      <c r="D34" s="15" t="n">
        <v>127652</v>
      </c>
      <c r="E34" s="16" t="n">
        <f aca="false">D34-C34</f>
        <v>-8148</v>
      </c>
      <c r="F34" s="17" t="n">
        <f aca="false">D34/C34-1</f>
        <v>-0.0600000000000001</v>
      </c>
      <c r="G34" s="9" t="str">
        <f aca="false">IF(F34&gt;0.05,"OVERSPEND",IF(F34&lt;-0.05,"UNDERSPEND",""))</f>
        <v>UNDERSPEND</v>
      </c>
    </row>
    <row r="35" customFormat="false" ht="15" hidden="false" customHeight="false" outlineLevel="0" collapsed="false">
      <c r="A35" s="14" t="s">
        <v>19</v>
      </c>
      <c r="B35" s="14" t="n">
        <v>7</v>
      </c>
      <c r="C35" s="15" t="n">
        <v>137600</v>
      </c>
      <c r="D35" s="15" t="n">
        <v>129344</v>
      </c>
      <c r="E35" s="16" t="n">
        <f aca="false">D35-C35</f>
        <v>-8256</v>
      </c>
      <c r="F35" s="17" t="n">
        <f aca="false">D35/C35-1</f>
        <v>-0.0600000000000001</v>
      </c>
      <c r="G35" s="9" t="str">
        <f aca="false">IF(F35&gt;0.05,"OVERSPEND",IF(F35&lt;-0.05,"UNDERSPEND",""))</f>
        <v>UNDERSPEND</v>
      </c>
    </row>
    <row r="36" customFormat="false" ht="15" hidden="false" customHeight="false" outlineLevel="0" collapsed="false">
      <c r="A36" s="14" t="s">
        <v>19</v>
      </c>
      <c r="B36" s="14" t="n">
        <v>8</v>
      </c>
      <c r="C36" s="15" t="n">
        <v>139400</v>
      </c>
      <c r="D36" s="15" t="n">
        <v>131036</v>
      </c>
      <c r="E36" s="16" t="n">
        <f aca="false">D36-C36</f>
        <v>-8364</v>
      </c>
      <c r="F36" s="17" t="n">
        <f aca="false">D36/C36-1</f>
        <v>-0.0600000000000001</v>
      </c>
      <c r="G36" s="9" t="str">
        <f aca="false">IF(F36&gt;0.05,"OVERSPEND",IF(F36&lt;-0.05,"UNDERSPEND",""))</f>
        <v>UNDERSPEND</v>
      </c>
    </row>
    <row r="37" customFormat="false" ht="15" hidden="false" customHeight="false" outlineLevel="0" collapsed="false">
      <c r="A37" s="14" t="s">
        <v>19</v>
      </c>
      <c r="B37" s="14" t="n">
        <v>9</v>
      </c>
      <c r="C37" s="15" t="n">
        <v>141200</v>
      </c>
      <c r="D37" s="15" t="n">
        <v>132728</v>
      </c>
      <c r="E37" s="16" t="n">
        <f aca="false">D37-C37</f>
        <v>-8472</v>
      </c>
      <c r="F37" s="17" t="n">
        <f aca="false">D37/C37-1</f>
        <v>-0.0600000000000001</v>
      </c>
      <c r="G37" s="9" t="str">
        <f aca="false">IF(F37&gt;0.05,"OVERSPEND",IF(F37&lt;-0.05,"UNDERSPEND",""))</f>
        <v>UNDERSPEND</v>
      </c>
    </row>
    <row r="38" customFormat="false" ht="15" hidden="false" customHeight="false" outlineLevel="0" collapsed="false">
      <c r="A38" s="14" t="s">
        <v>19</v>
      </c>
      <c r="B38" s="14" t="n">
        <v>10</v>
      </c>
      <c r="C38" s="15" t="n">
        <v>158000</v>
      </c>
      <c r="D38" s="15" t="n">
        <v>170640</v>
      </c>
      <c r="E38" s="16" t="n">
        <f aca="false">D38-C38</f>
        <v>12640</v>
      </c>
      <c r="F38" s="17" t="n">
        <f aca="false">D38/C38-1</f>
        <v>0.0800000000000001</v>
      </c>
      <c r="G38" s="9" t="str">
        <f aca="false">IF(F38&gt;0.05,"OVERSPEND",IF(F38&lt;-0.05,"UNDERSPEND",""))</f>
        <v>OVERSPEND</v>
      </c>
    </row>
    <row r="39" customFormat="false" ht="15" hidden="false" customHeight="false" outlineLevel="0" collapsed="false">
      <c r="A39" s="14" t="s">
        <v>19</v>
      </c>
      <c r="B39" s="14" t="n">
        <v>11</v>
      </c>
      <c r="C39" s="15" t="n">
        <v>159800</v>
      </c>
      <c r="D39" s="15" t="n">
        <v>204544</v>
      </c>
      <c r="E39" s="16" t="n">
        <f aca="false">D39-C39</f>
        <v>44744</v>
      </c>
      <c r="F39" s="17" t="n">
        <f aca="false">D39/C39-1</f>
        <v>0.28</v>
      </c>
      <c r="G39" s="9" t="str">
        <f aca="false">IF(F39&gt;0.05,"OVERSPEND",IF(F39&lt;-0.05,"UNDERSPEND",""))</f>
        <v>OVERSPEND</v>
      </c>
    </row>
    <row r="40" customFormat="false" ht="15" hidden="false" customHeight="false" outlineLevel="0" collapsed="false">
      <c r="A40" s="14" t="s">
        <v>19</v>
      </c>
      <c r="B40" s="14" t="n">
        <v>12</v>
      </c>
      <c r="C40" s="15" t="n">
        <v>161600</v>
      </c>
      <c r="D40" s="15" t="n">
        <v>206848</v>
      </c>
      <c r="E40" s="16" t="n">
        <f aca="false">D40-C40</f>
        <v>45248</v>
      </c>
      <c r="F40" s="17" t="n">
        <f aca="false">D40/C40-1</f>
        <v>0.28</v>
      </c>
      <c r="G40" s="9" t="str">
        <f aca="false">IF(F40&gt;0.05,"OVERSPEND",IF(F40&lt;-0.05,"UNDERSPEND",""))</f>
        <v>OVERSPEND</v>
      </c>
    </row>
    <row r="41" customFormat="false" ht="15" hidden="false" customHeight="false" outlineLevel="0" collapsed="false">
      <c r="A41" s="14" t="s">
        <v>21</v>
      </c>
      <c r="B41" s="14" t="n">
        <v>1</v>
      </c>
      <c r="C41" s="15" t="n">
        <v>120800</v>
      </c>
      <c r="D41" s="15" t="n">
        <v>121283.2</v>
      </c>
      <c r="E41" s="16" t="n">
        <f aca="false">D41-C41</f>
        <v>483.199999999997</v>
      </c>
      <c r="F41" s="17" t="n">
        <f aca="false">D41/C41-1</f>
        <v>0.004</v>
      </c>
      <c r="G41" s="9" t="str">
        <f aca="false">IF(F41&gt;0.05,"OVERSPEND",IF(F41&lt;-0.05,"UNDERSPEND",""))</f>
        <v/>
      </c>
    </row>
    <row r="42" customFormat="false" ht="15" hidden="false" customHeight="false" outlineLevel="0" collapsed="false">
      <c r="A42" s="14" t="s">
        <v>21</v>
      </c>
      <c r="B42" s="14" t="n">
        <v>2</v>
      </c>
      <c r="C42" s="15" t="n">
        <v>121600</v>
      </c>
      <c r="D42" s="15" t="n">
        <v>119776</v>
      </c>
      <c r="E42" s="16" t="n">
        <f aca="false">D42-C42</f>
        <v>-1824</v>
      </c>
      <c r="F42" s="17" t="n">
        <f aca="false">D42/C42-1</f>
        <v>-0.015</v>
      </c>
      <c r="G42" s="9" t="str">
        <f aca="false">IF(F42&gt;0.05,"OVERSPEND",IF(F42&lt;-0.05,"UNDERSPEND",""))</f>
        <v/>
      </c>
    </row>
    <row r="43" customFormat="false" ht="15" hidden="false" customHeight="false" outlineLevel="0" collapsed="false">
      <c r="A43" s="14" t="s">
        <v>21</v>
      </c>
      <c r="B43" s="14" t="n">
        <v>3</v>
      </c>
      <c r="C43" s="15" t="n">
        <v>122400</v>
      </c>
      <c r="D43" s="15" t="n">
        <v>122889.6</v>
      </c>
      <c r="E43" s="16" t="n">
        <f aca="false">D43-C43</f>
        <v>489.600000000006</v>
      </c>
      <c r="F43" s="17" t="n">
        <f aca="false">D43/C43-1</f>
        <v>0.004</v>
      </c>
      <c r="G43" s="9" t="str">
        <f aca="false">IF(F43&gt;0.05,"OVERSPEND",IF(F43&lt;-0.05,"UNDERSPEND",""))</f>
        <v/>
      </c>
    </row>
    <row r="44" customFormat="false" ht="15" hidden="false" customHeight="false" outlineLevel="0" collapsed="false">
      <c r="A44" s="14" t="s">
        <v>21</v>
      </c>
      <c r="B44" s="14" t="n">
        <v>4</v>
      </c>
      <c r="C44" s="15" t="n">
        <v>123200</v>
      </c>
      <c r="D44" s="15" t="n">
        <v>121352</v>
      </c>
      <c r="E44" s="16" t="n">
        <f aca="false">D44-C44</f>
        <v>-1848</v>
      </c>
      <c r="F44" s="17" t="n">
        <f aca="false">D44/C44-1</f>
        <v>-0.015</v>
      </c>
      <c r="G44" s="9" t="str">
        <f aca="false">IF(F44&gt;0.05,"OVERSPEND",IF(F44&lt;-0.05,"UNDERSPEND",""))</f>
        <v/>
      </c>
    </row>
    <row r="45" customFormat="false" ht="15" hidden="false" customHeight="false" outlineLevel="0" collapsed="false">
      <c r="A45" s="14" t="s">
        <v>21</v>
      </c>
      <c r="B45" s="14" t="n">
        <v>5</v>
      </c>
      <c r="C45" s="15" t="n">
        <v>124000</v>
      </c>
      <c r="D45" s="15" t="n">
        <v>127348</v>
      </c>
      <c r="E45" s="16" t="n">
        <f aca="false">D45-C45</f>
        <v>3348</v>
      </c>
      <c r="F45" s="17" t="n">
        <f aca="false">D45/C45-1</f>
        <v>0.0269999999999999</v>
      </c>
      <c r="G45" s="9" t="str">
        <f aca="false">IF(F45&gt;0.05,"OVERSPEND",IF(F45&lt;-0.05,"UNDERSPEND",""))</f>
        <v/>
      </c>
    </row>
    <row r="46" customFormat="false" ht="15" hidden="false" customHeight="false" outlineLevel="0" collapsed="false">
      <c r="A46" s="14" t="s">
        <v>21</v>
      </c>
      <c r="B46" s="14" t="n">
        <v>6</v>
      </c>
      <c r="C46" s="15" t="n">
        <v>124800</v>
      </c>
      <c r="D46" s="15" t="n">
        <v>124924.8</v>
      </c>
      <c r="E46" s="16" t="n">
        <f aca="false">D46-C46</f>
        <v>124.800000000003</v>
      </c>
      <c r="F46" s="17" t="n">
        <f aca="false">D46/C46-1</f>
        <v>0.00100000000000011</v>
      </c>
      <c r="G46" s="9" t="str">
        <f aca="false">IF(F46&gt;0.05,"OVERSPEND",IF(F46&lt;-0.05,"UNDERSPEND",""))</f>
        <v/>
      </c>
    </row>
    <row r="47" customFormat="false" ht="15" hidden="false" customHeight="false" outlineLevel="0" collapsed="false">
      <c r="A47" s="14" t="s">
        <v>21</v>
      </c>
      <c r="B47" s="14" t="n">
        <v>7</v>
      </c>
      <c r="C47" s="15" t="n">
        <v>125600</v>
      </c>
      <c r="D47" s="15" t="n">
        <v>126102.4</v>
      </c>
      <c r="E47" s="16" t="n">
        <f aca="false">D47-C47</f>
        <v>502.399999999994</v>
      </c>
      <c r="F47" s="17" t="n">
        <f aca="false">D47/C47-1</f>
        <v>0.004</v>
      </c>
      <c r="G47" s="9" t="str">
        <f aca="false">IF(F47&gt;0.05,"OVERSPEND",IF(F47&lt;-0.05,"UNDERSPEND",""))</f>
        <v/>
      </c>
    </row>
    <row r="48" customFormat="false" ht="15" hidden="false" customHeight="false" outlineLevel="0" collapsed="false">
      <c r="A48" s="14" t="s">
        <v>21</v>
      </c>
      <c r="B48" s="14" t="n">
        <v>8</v>
      </c>
      <c r="C48" s="15" t="n">
        <v>126400</v>
      </c>
      <c r="D48" s="15" t="n">
        <v>124377.6</v>
      </c>
      <c r="E48" s="16" t="n">
        <f aca="false">D48-C48</f>
        <v>-2022.39999999999</v>
      </c>
      <c r="F48" s="17" t="n">
        <f aca="false">D48/C48-1</f>
        <v>-0.0159999999999999</v>
      </c>
      <c r="G48" s="9" t="str">
        <f aca="false">IF(F48&gt;0.05,"OVERSPEND",IF(F48&lt;-0.05,"UNDERSPEND",""))</f>
        <v/>
      </c>
    </row>
    <row r="49" customFormat="false" ht="15" hidden="false" customHeight="false" outlineLevel="0" collapsed="false">
      <c r="A49" s="14" t="s">
        <v>21</v>
      </c>
      <c r="B49" s="14" t="n">
        <v>9</v>
      </c>
      <c r="C49" s="15" t="n">
        <v>127200</v>
      </c>
      <c r="D49" s="15" t="n">
        <v>126436.8</v>
      </c>
      <c r="E49" s="16" t="n">
        <f aca="false">D49-C49</f>
        <v>-763.199999999997</v>
      </c>
      <c r="F49" s="17" t="n">
        <f aca="false">D49/C49-1</f>
        <v>-0.00600000000000001</v>
      </c>
      <c r="G49" s="9" t="str">
        <f aca="false">IF(F49&gt;0.05,"OVERSPEND",IF(F49&lt;-0.05,"UNDERSPEND",""))</f>
        <v/>
      </c>
    </row>
    <row r="50" customFormat="false" ht="15" hidden="false" customHeight="false" outlineLevel="0" collapsed="false">
      <c r="A50" s="14" t="s">
        <v>21</v>
      </c>
      <c r="B50" s="14" t="n">
        <v>10</v>
      </c>
      <c r="C50" s="15" t="n">
        <v>128000</v>
      </c>
      <c r="D50" s="15" t="n">
        <v>127360</v>
      </c>
      <c r="E50" s="16" t="n">
        <f aca="false">D50-C50</f>
        <v>-640</v>
      </c>
      <c r="F50" s="17" t="n">
        <f aca="false">D50/C50-1</f>
        <v>-0.005</v>
      </c>
      <c r="G50" s="9" t="str">
        <f aca="false">IF(F50&gt;0.05,"OVERSPEND",IF(F50&lt;-0.05,"UNDERSPEND",""))</f>
        <v/>
      </c>
    </row>
    <row r="51" customFormat="false" ht="15" hidden="false" customHeight="false" outlineLevel="0" collapsed="false">
      <c r="A51" s="14" t="s">
        <v>21</v>
      </c>
      <c r="B51" s="14" t="n">
        <v>11</v>
      </c>
      <c r="C51" s="15" t="n">
        <v>128800</v>
      </c>
      <c r="D51" s="15" t="n">
        <v>126996.8</v>
      </c>
      <c r="E51" s="16" t="n">
        <f aca="false">D51-C51</f>
        <v>-1803.2</v>
      </c>
      <c r="F51" s="17" t="n">
        <f aca="false">D51/C51-1</f>
        <v>-0.014</v>
      </c>
      <c r="G51" s="9" t="str">
        <f aca="false">IF(F51&gt;0.05,"OVERSPEND",IF(F51&lt;-0.05,"UNDERSPEND",""))</f>
        <v/>
      </c>
    </row>
    <row r="52" customFormat="false" ht="15" hidden="false" customHeight="false" outlineLevel="0" collapsed="false">
      <c r="A52" s="14" t="s">
        <v>21</v>
      </c>
      <c r="B52" s="14" t="n">
        <v>12</v>
      </c>
      <c r="C52" s="15" t="n">
        <v>129600</v>
      </c>
      <c r="D52" s="15" t="n">
        <v>127396.8</v>
      </c>
      <c r="E52" s="16" t="n">
        <f aca="false">D52-C52</f>
        <v>-2203.2</v>
      </c>
      <c r="F52" s="17" t="n">
        <f aca="false">D52/C52-1</f>
        <v>-0.017</v>
      </c>
      <c r="G52" s="9" t="str">
        <f aca="false">IF(F52&gt;0.05,"OVERSPEND",IF(F52&lt;-0.05,"UNDERSPEND",""))</f>
        <v/>
      </c>
    </row>
    <row r="53" customFormat="false" ht="15" hidden="false" customHeight="false" outlineLevel="0" collapsed="false">
      <c r="A53" s="14" t="s">
        <v>23</v>
      </c>
      <c r="B53" s="14" t="n">
        <v>1</v>
      </c>
      <c r="C53" s="15" t="n">
        <v>174500</v>
      </c>
      <c r="D53" s="15" t="n">
        <v>177117.5</v>
      </c>
      <c r="E53" s="16" t="n">
        <f aca="false">D53-C53</f>
        <v>2617.5</v>
      </c>
      <c r="F53" s="17" t="n">
        <f aca="false">D53/C53-1</f>
        <v>0.0149999999999999</v>
      </c>
      <c r="G53" s="9" t="str">
        <f aca="false">IF(F53&gt;0.05,"OVERSPEND",IF(F53&lt;-0.05,"UNDERSPEND",""))</f>
        <v/>
      </c>
    </row>
    <row r="54" customFormat="false" ht="15" hidden="false" customHeight="false" outlineLevel="0" collapsed="false">
      <c r="A54" s="14" t="s">
        <v>23</v>
      </c>
      <c r="B54" s="14" t="n">
        <v>2</v>
      </c>
      <c r="C54" s="15" t="n">
        <v>179000</v>
      </c>
      <c r="D54" s="15" t="n">
        <v>181685</v>
      </c>
      <c r="E54" s="16" t="n">
        <f aca="false">D54-C54</f>
        <v>2685</v>
      </c>
      <c r="F54" s="17" t="n">
        <f aca="false">D54/C54-1</f>
        <v>0.0149999999999999</v>
      </c>
      <c r="G54" s="9" t="str">
        <f aca="false">IF(F54&gt;0.05,"OVERSPEND",IF(F54&lt;-0.05,"UNDERSPEND",""))</f>
        <v/>
      </c>
    </row>
    <row r="55" customFormat="false" ht="15" hidden="false" customHeight="false" outlineLevel="0" collapsed="false">
      <c r="A55" s="14" t="s">
        <v>23</v>
      </c>
      <c r="B55" s="14" t="n">
        <v>3</v>
      </c>
      <c r="C55" s="15" t="n">
        <v>183500</v>
      </c>
      <c r="D55" s="15" t="n">
        <v>186252.5</v>
      </c>
      <c r="E55" s="16" t="n">
        <f aca="false">D55-C55</f>
        <v>2752.5</v>
      </c>
      <c r="F55" s="17" t="n">
        <f aca="false">D55/C55-1</f>
        <v>0.0149999999999999</v>
      </c>
      <c r="G55" s="9" t="str">
        <f aca="false">IF(F55&gt;0.05,"OVERSPEND",IF(F55&lt;-0.05,"UNDERSPEND",""))</f>
        <v/>
      </c>
    </row>
    <row r="56" customFormat="false" ht="15" hidden="false" customHeight="false" outlineLevel="0" collapsed="false">
      <c r="A56" s="14" t="s">
        <v>23</v>
      </c>
      <c r="B56" s="14" t="n">
        <v>4</v>
      </c>
      <c r="C56" s="15" t="n">
        <v>188000</v>
      </c>
      <c r="D56" s="15" t="n">
        <v>190820</v>
      </c>
      <c r="E56" s="16" t="n">
        <f aca="false">D56-C56</f>
        <v>2820</v>
      </c>
      <c r="F56" s="17" t="n">
        <f aca="false">D56/C56-1</f>
        <v>0.0149999999999999</v>
      </c>
      <c r="G56" s="9" t="str">
        <f aca="false">IF(F56&gt;0.05,"OVERSPEND",IF(F56&lt;-0.05,"UNDERSPEND",""))</f>
        <v/>
      </c>
    </row>
    <row r="57" customFormat="false" ht="15" hidden="false" customHeight="false" outlineLevel="0" collapsed="false">
      <c r="A57" s="14" t="s">
        <v>23</v>
      </c>
      <c r="B57" s="14" t="n">
        <v>5</v>
      </c>
      <c r="C57" s="15" t="n">
        <v>192500</v>
      </c>
      <c r="D57" s="15" t="n">
        <v>195387.5</v>
      </c>
      <c r="E57" s="16" t="n">
        <f aca="false">D57-C57</f>
        <v>2887.5</v>
      </c>
      <c r="F57" s="17" t="n">
        <f aca="false">D57/C57-1</f>
        <v>0.0149999999999999</v>
      </c>
      <c r="G57" s="9" t="str">
        <f aca="false">IF(F57&gt;0.05,"OVERSPEND",IF(F57&lt;-0.05,"UNDERSPEND",""))</f>
        <v/>
      </c>
    </row>
    <row r="58" customFormat="false" ht="15" hidden="false" customHeight="false" outlineLevel="0" collapsed="false">
      <c r="A58" s="14" t="s">
        <v>23</v>
      </c>
      <c r="B58" s="14" t="n">
        <v>6</v>
      </c>
      <c r="C58" s="15" t="n">
        <v>197000</v>
      </c>
      <c r="D58" s="15" t="n">
        <v>199955</v>
      </c>
      <c r="E58" s="16" t="n">
        <f aca="false">D58-C58</f>
        <v>2955</v>
      </c>
      <c r="F58" s="17" t="n">
        <f aca="false">D58/C58-1</f>
        <v>0.0149999999999999</v>
      </c>
      <c r="G58" s="9" t="str">
        <f aca="false">IF(F58&gt;0.05,"OVERSPEND",IF(F58&lt;-0.05,"UNDERSPEND",""))</f>
        <v/>
      </c>
    </row>
    <row r="59" customFormat="false" ht="15" hidden="false" customHeight="false" outlineLevel="0" collapsed="false">
      <c r="A59" s="14" t="s">
        <v>23</v>
      </c>
      <c r="B59" s="14" t="n">
        <v>7</v>
      </c>
      <c r="C59" s="15" t="n">
        <v>201500</v>
      </c>
      <c r="D59" s="15" t="n">
        <v>204522.5</v>
      </c>
      <c r="E59" s="16" t="n">
        <f aca="false">D59-C59</f>
        <v>3022.5</v>
      </c>
      <c r="F59" s="17" t="n">
        <f aca="false">D59/C59-1</f>
        <v>0.0149999999999999</v>
      </c>
      <c r="G59" s="9" t="str">
        <f aca="false">IF(F59&gt;0.05,"OVERSPEND",IF(F59&lt;-0.05,"UNDERSPEND",""))</f>
        <v/>
      </c>
    </row>
    <row r="60" customFormat="false" ht="15" hidden="false" customHeight="false" outlineLevel="0" collapsed="false">
      <c r="A60" s="14" t="s">
        <v>23</v>
      </c>
      <c r="B60" s="14" t="n">
        <v>8</v>
      </c>
      <c r="C60" s="15" t="n">
        <v>206000</v>
      </c>
      <c r="D60" s="15" t="n">
        <v>209090</v>
      </c>
      <c r="E60" s="16" t="n">
        <f aca="false">D60-C60</f>
        <v>3090</v>
      </c>
      <c r="F60" s="17" t="n">
        <f aca="false">D60/C60-1</f>
        <v>0.0149999999999999</v>
      </c>
      <c r="G60" s="9" t="str">
        <f aca="false">IF(F60&gt;0.05,"OVERSPEND",IF(F60&lt;-0.05,"UNDERSPEND",""))</f>
        <v/>
      </c>
    </row>
    <row r="61" customFormat="false" ht="15" hidden="false" customHeight="false" outlineLevel="0" collapsed="false">
      <c r="A61" s="14" t="s">
        <v>23</v>
      </c>
      <c r="B61" s="14" t="n">
        <v>9</v>
      </c>
      <c r="C61" s="15" t="n">
        <v>210500</v>
      </c>
      <c r="D61" s="15" t="n">
        <v>213657.5</v>
      </c>
      <c r="E61" s="16" t="n">
        <f aca="false">D61-C61</f>
        <v>3157.5</v>
      </c>
      <c r="F61" s="17" t="n">
        <f aca="false">D61/C61-1</f>
        <v>0.0149999999999999</v>
      </c>
      <c r="G61" s="9" t="str">
        <f aca="false">IF(F61&gt;0.05,"OVERSPEND",IF(F61&lt;-0.05,"UNDERSPEND",""))</f>
        <v/>
      </c>
    </row>
    <row r="62" customFormat="false" ht="15" hidden="false" customHeight="false" outlineLevel="0" collapsed="false">
      <c r="A62" s="14" t="s">
        <v>23</v>
      </c>
      <c r="B62" s="14" t="n">
        <v>10</v>
      </c>
      <c r="C62" s="15" t="n">
        <v>240000</v>
      </c>
      <c r="D62" s="15" t="n">
        <v>268800</v>
      </c>
      <c r="E62" s="16" t="n">
        <f aca="false">D62-C62</f>
        <v>28800</v>
      </c>
      <c r="F62" s="17" t="n">
        <f aca="false">D62/C62-1</f>
        <v>0.12</v>
      </c>
      <c r="G62" s="9" t="str">
        <f aca="false">IF(F62&gt;0.05,"OVERSPEND",IF(F62&lt;-0.05,"UNDERSPEND",""))</f>
        <v>OVERSPEND</v>
      </c>
    </row>
    <row r="63" customFormat="false" ht="15" hidden="false" customHeight="false" outlineLevel="0" collapsed="false">
      <c r="A63" s="14" t="s">
        <v>23</v>
      </c>
      <c r="B63" s="14" t="n">
        <v>11</v>
      </c>
      <c r="C63" s="15" t="n">
        <v>244500</v>
      </c>
      <c r="D63" s="15" t="n">
        <v>322740</v>
      </c>
      <c r="E63" s="16" t="n">
        <f aca="false">D63-C63</f>
        <v>78240</v>
      </c>
      <c r="F63" s="17" t="n">
        <f aca="false">D63/C63-1</f>
        <v>0.32</v>
      </c>
      <c r="G63" s="9" t="str">
        <f aca="false">IF(F63&gt;0.05,"OVERSPEND",IF(F63&lt;-0.05,"UNDERSPEND",""))</f>
        <v>OVERSPEND</v>
      </c>
    </row>
    <row r="64" customFormat="false" ht="15" hidden="false" customHeight="false" outlineLevel="0" collapsed="false">
      <c r="A64" s="14" t="s">
        <v>23</v>
      </c>
      <c r="B64" s="14" t="n">
        <v>12</v>
      </c>
      <c r="C64" s="15" t="n">
        <v>249000</v>
      </c>
      <c r="D64" s="15" t="n">
        <v>328680</v>
      </c>
      <c r="E64" s="16" t="n">
        <f aca="false">D64-C64</f>
        <v>79680</v>
      </c>
      <c r="F64" s="17" t="n">
        <f aca="false">D64/C64-1</f>
        <v>0.32</v>
      </c>
      <c r="G64" s="9" t="str">
        <f aca="false">IF(F64&gt;0.05,"OVERSPEND",IF(F64&lt;-0.05,"UNDERSPEND",""))</f>
        <v>OVERSPEND</v>
      </c>
    </row>
  </sheetData>
  <conditionalFormatting sqref="F5:F64">
    <cfRule type="colorScale" priority="2">
      <colorScale>
        <cfvo type="min" val="0"/>
        <cfvo type="num" val="0"/>
        <cfvo type="max" val="0"/>
        <color rgb="FF63BE7B"/>
        <color rgb="FFFFEB84"/>
        <color rgb="FFF8696B"/>
      </colorScale>
    </cfRule>
    <cfRule type="expression" priority="3" aboveAverage="0" equalAverage="0" bottom="0" percent="0" rank="0" text="" dxfId="0">
      <formula>F5&gt;0.05</formula>
    </cfRule>
  </conditionalFormatting>
  <conditionalFormatting sqref="G5:G64">
    <cfRule type="cellIs" priority="4" operator="equal" aboveAverage="0" equalAverage="0" bottom="0" percent="0" rank="0" text="" dxfId="0">
      <formula>"OVERSPEND"</formula>
    </cfRule>
    <cfRule type="cellIs" priority="5" operator="equal" aboveAverage="0" equalAverage="0" bottom="0" percent="0" rank="0" text="" dxfId="1">
      <formula>"UNDERSPEND"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2026-06-25T09:00:08Z</dcterms:created>
  <dc:creator>openpyxl</dc:creator>
  <dc:description/>
  <dc:language>en-US</dc:language>
  <cp:lastModifiedBy/>
  <dcterms:modified xsi:type="dcterms:W3CDTF">2026-06-25T09:00:14Z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